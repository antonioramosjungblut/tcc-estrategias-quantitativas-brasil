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anton\OneDrive\Documentos\Códigos e data sets MF\retornos_anuais_apresentação\"/>
    </mc:Choice>
  </mc:AlternateContent>
  <xr:revisionPtr revIDLastSave="0" documentId="13_ncr:1_{8599E0CC-4485-4E20-8834-B38B794D56A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retornos" sheetId="1" r:id="rId1"/>
    <sheet name="Planilha2" sheetId="15" r:id="rId2"/>
    <sheet name="Planilha1" sheetId="2" r:id="rId3"/>
    <sheet name="MARKOWITZ" sheetId="14" r:id="rId4"/>
    <sheet name="MF1" sheetId="3" r:id="rId5"/>
    <sheet name="MF2" sheetId="4" r:id="rId6"/>
    <sheet name="MF3" sheetId="5" r:id="rId7"/>
    <sheet name="MF4" sheetId="6" r:id="rId8"/>
    <sheet name="MF5" sheetId="7" r:id="rId9"/>
    <sheet name="MF6" sheetId="8" r:id="rId10"/>
    <sheet name="MF7" sheetId="9" r:id="rId11"/>
    <sheet name="MF8" sheetId="10" r:id="rId12"/>
    <sheet name="MF9" sheetId="11" r:id="rId13"/>
    <sheet name="MF10" sheetId="12" r:id="rId14"/>
    <sheet name="MF11" sheetId="13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8" i="15" l="1"/>
  <c r="AW8" i="15"/>
  <c r="AW7" i="15"/>
  <c r="AW10" i="15"/>
  <c r="AW11" i="15"/>
  <c r="AW12" i="15"/>
  <c r="AW13" i="15"/>
  <c r="AW14" i="15"/>
  <c r="AW15" i="15"/>
  <c r="AW16" i="15"/>
  <c r="AW17" i="15"/>
  <c r="AW18" i="15"/>
  <c r="AW19" i="15"/>
  <c r="AW9" i="15"/>
  <c r="AU10" i="15"/>
  <c r="AU11" i="15"/>
  <c r="AU12" i="15"/>
  <c r="AU13" i="15"/>
  <c r="AU14" i="15"/>
  <c r="AU15" i="15"/>
  <c r="AU16" i="15"/>
  <c r="AU17" i="15"/>
  <c r="AU18" i="15"/>
  <c r="AU19" i="15"/>
  <c r="AU9" i="15"/>
  <c r="F31" i="15" a="1"/>
  <c r="F31" i="15" s="1"/>
  <c r="E31" i="15" a="1"/>
  <c r="E31" i="15" s="1"/>
  <c r="D31" i="15" a="1"/>
  <c r="D31" i="15" s="1"/>
  <c r="C31" i="15" a="1"/>
  <c r="C31" i="15" s="1"/>
  <c r="F29" i="15" a="1"/>
  <c r="F29" i="15" s="1"/>
  <c r="E29" i="15" a="1"/>
  <c r="E29" i="15" s="1"/>
  <c r="D29" i="15" a="1"/>
  <c r="D29" i="15" s="1"/>
  <c r="C29" i="15" a="1"/>
  <c r="C29" i="15" s="1"/>
  <c r="F27" i="15" a="1"/>
  <c r="F27" i="15" s="1"/>
  <c r="E27" i="15" a="1"/>
  <c r="E27" i="15" s="1"/>
  <c r="D27" i="15" a="1"/>
  <c r="D27" i="15" s="1"/>
  <c r="C27" i="15" a="1"/>
  <c r="C27" i="15" s="1"/>
  <c r="F25" i="15" a="1"/>
  <c r="F25" i="15" s="1"/>
  <c r="E25" i="15" a="1"/>
  <c r="E25" i="15" s="1"/>
  <c r="D25" i="15" a="1"/>
  <c r="D25" i="15" s="1"/>
  <c r="C25" i="15" a="1"/>
  <c r="C25" i="15" s="1"/>
  <c r="B25" i="15" a="1"/>
  <c r="B25" i="15" s="1"/>
  <c r="F23" i="15" a="1"/>
  <c r="F23" i="15" s="1"/>
  <c r="E23" i="15" a="1"/>
  <c r="E23" i="15" s="1"/>
  <c r="D23" i="15" a="1"/>
  <c r="D23" i="15" s="1"/>
  <c r="C23" i="15" a="1"/>
  <c r="C23" i="15" s="1"/>
  <c r="B23" i="15" a="1"/>
  <c r="B23" i="15" s="1"/>
  <c r="F21" i="15" a="1"/>
  <c r="F21" i="15" s="1"/>
  <c r="E21" i="15" a="1"/>
  <c r="E21" i="15" s="1"/>
  <c r="D21" i="15" a="1"/>
  <c r="D21" i="15" s="1"/>
  <c r="C21" i="15" a="1"/>
  <c r="C21" i="15" s="1"/>
  <c r="B21" i="15" a="1"/>
  <c r="B21" i="15" s="1"/>
  <c r="F19" i="15" a="1"/>
  <c r="F19" i="15" s="1"/>
  <c r="E19" i="15" a="1"/>
  <c r="E19" i="15" s="1"/>
  <c r="D19" i="15" a="1"/>
  <c r="D19" i="15" s="1"/>
  <c r="C19" i="15" a="1"/>
  <c r="C19" i="15" s="1"/>
  <c r="B19" i="15" a="1"/>
  <c r="B19" i="15" s="1"/>
  <c r="F17" i="15" a="1"/>
  <c r="F17" i="15" s="1"/>
  <c r="E17" i="15" a="1"/>
  <c r="E17" i="15" s="1"/>
  <c r="D17" i="15" a="1"/>
  <c r="D17" i="15" s="1"/>
  <c r="C17" i="15" a="1"/>
  <c r="C17" i="15" s="1"/>
  <c r="B17" i="15" a="1"/>
  <c r="B17" i="15" s="1"/>
  <c r="F15" i="15" a="1"/>
  <c r="F15" i="15" s="1"/>
  <c r="E15" i="15" a="1"/>
  <c r="E15" i="15" s="1"/>
  <c r="D15" i="15" a="1"/>
  <c r="D15" i="15" s="1"/>
  <c r="C15" i="15" a="1"/>
  <c r="C15" i="15" s="1"/>
  <c r="B15" i="15" a="1"/>
  <c r="B15" i="15" s="1"/>
  <c r="F13" i="15" a="1"/>
  <c r="F13" i="15" s="1"/>
  <c r="E13" i="15" a="1"/>
  <c r="E13" i="15" s="1"/>
  <c r="D13" i="15" a="1"/>
  <c r="D13" i="15" s="1"/>
  <c r="C13" i="15" a="1"/>
  <c r="C13" i="15" s="1"/>
  <c r="B13" i="15" a="1"/>
  <c r="B13" i="15" s="1"/>
  <c r="F11" i="15" a="1"/>
  <c r="F11" i="15" s="1"/>
  <c r="E11" i="15" a="1"/>
  <c r="E11" i="15" s="1"/>
  <c r="D11" i="15" a="1"/>
  <c r="D11" i="15" s="1"/>
  <c r="C11" i="15" a="1"/>
  <c r="C11" i="15" s="1"/>
  <c r="B11" i="15" a="1"/>
  <c r="B11" i="15" s="1"/>
  <c r="F9" i="15" a="1"/>
  <c r="F9" i="15" s="1"/>
  <c r="E9" i="15" a="1"/>
  <c r="E9" i="15" s="1"/>
  <c r="D9" i="15" a="1"/>
  <c r="D9" i="15" s="1"/>
  <c r="C9" i="15" a="1"/>
  <c r="C9" i="15" s="1"/>
  <c r="B9" i="15" a="1"/>
  <c r="B9" i="15" s="1"/>
  <c r="F7" i="15" a="1"/>
  <c r="F7" i="15" s="1"/>
  <c r="E7" i="15" a="1"/>
  <c r="E7" i="15" s="1"/>
  <c r="D7" i="15" a="1"/>
  <c r="D7" i="15" s="1"/>
  <c r="C7" i="15" a="1"/>
  <c r="C7" i="15" s="1"/>
  <c r="B7" i="15" a="1"/>
  <c r="B7" i="15" s="1"/>
  <c r="F5" i="15" a="1"/>
  <c r="F5" i="15" s="1"/>
  <c r="E5" i="15" a="1"/>
  <c r="E5" i="15" s="1"/>
  <c r="D5" i="15" a="1"/>
  <c r="D5" i="15" s="1"/>
  <c r="C5" i="15" a="1"/>
  <c r="C5" i="15" s="1"/>
  <c r="B5" i="15" a="1"/>
  <c r="B5" i="15" s="1"/>
  <c r="F4" i="15" a="1"/>
  <c r="F4" i="15" s="1"/>
  <c r="E4" i="15" a="1"/>
  <c r="E4" i="15" s="1"/>
  <c r="D4" i="15" a="1"/>
  <c r="D4" i="15" s="1"/>
  <c r="C4" i="15" a="1"/>
  <c r="C4" i="15" s="1"/>
  <c r="B4" i="15" a="1"/>
  <c r="B4" i="15" s="1"/>
  <c r="F3" i="15" a="1"/>
  <c r="F3" i="15" s="1"/>
  <c r="E3" i="15" a="1"/>
  <c r="E3" i="15" s="1"/>
  <c r="D3" i="15" a="1"/>
  <c r="D3" i="15" s="1"/>
  <c r="C3" i="15" a="1"/>
  <c r="C3" i="15" s="1"/>
  <c r="B3" i="15" a="1"/>
  <c r="B3" i="15" s="1"/>
  <c r="F2" i="15" a="1"/>
  <c r="F2" i="15" s="1"/>
  <c r="E2" i="15" a="1"/>
  <c r="E2" i="15" s="1"/>
  <c r="D2" i="15" a="1"/>
  <c r="D2" i="15" s="1"/>
  <c r="C2" i="15" a="1"/>
  <c r="C2" i="15" s="1"/>
  <c r="B2" i="15" a="1"/>
  <c r="B2" i="15" s="1"/>
  <c r="C116" i="1" a="1"/>
  <c r="C116" i="1" s="1"/>
  <c r="J116" i="1" s="1"/>
  <c r="G29" i="2"/>
  <c r="F29" i="2"/>
  <c r="E29" i="2"/>
  <c r="D29" i="2"/>
  <c r="C29" i="2"/>
  <c r="I75" i="1"/>
  <c r="B90" i="1" a="1"/>
  <c r="B90" i="1" s="1"/>
  <c r="J5" i="1"/>
  <c r="J117" i="1"/>
  <c r="J115" i="1"/>
  <c r="I5" i="1"/>
  <c r="J3" i="1"/>
  <c r="I4" i="1"/>
  <c r="J4" i="1"/>
  <c r="I3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F4" i="1" a="1"/>
  <c r="F4" i="1" s="1"/>
  <c r="E4" i="1" a="1"/>
  <c r="E4" i="1" s="1"/>
  <c r="D4" i="1" a="1"/>
  <c r="D4" i="1" s="1"/>
  <c r="C4" i="1" a="1"/>
  <c r="C4" i="1" s="1"/>
  <c r="B4" i="1" a="1"/>
  <c r="B4" i="1" s="1"/>
  <c r="F15" i="1" a="1"/>
  <c r="F15" i="1" s="1"/>
  <c r="F16" i="1" a="1"/>
  <c r="F16" i="1" s="1"/>
  <c r="F17" i="1" a="1"/>
  <c r="F17" i="1" s="1"/>
  <c r="F18" i="1" a="1"/>
  <c r="F18" i="1" s="1"/>
  <c r="F19" i="1" a="1"/>
  <c r="F19" i="1" s="1"/>
  <c r="F20" i="1" a="1"/>
  <c r="F20" i="1" s="1"/>
  <c r="F21" i="1" a="1"/>
  <c r="F21" i="1" s="1"/>
  <c r="F22" i="1" a="1"/>
  <c r="F22" i="1" s="1"/>
  <c r="F23" i="1" a="1"/>
  <c r="F23" i="1" s="1"/>
  <c r="F24" i="1" a="1"/>
  <c r="F24" i="1" s="1"/>
  <c r="F25" i="1" a="1"/>
  <c r="F25" i="1" s="1"/>
  <c r="F26" i="1" a="1"/>
  <c r="F26" i="1" s="1"/>
  <c r="F27" i="1" a="1"/>
  <c r="F27" i="1" s="1"/>
  <c r="F28" i="1" a="1"/>
  <c r="F28" i="1" s="1"/>
  <c r="F29" i="1" a="1"/>
  <c r="F29" i="1" s="1"/>
  <c r="F30" i="1" a="1"/>
  <c r="F30" i="1" s="1"/>
  <c r="F31" i="1" a="1"/>
  <c r="F31" i="1" s="1"/>
  <c r="F32" i="1" a="1"/>
  <c r="F32" i="1" s="1"/>
  <c r="F33" i="1" a="1"/>
  <c r="F33" i="1" s="1"/>
  <c r="F34" i="1" a="1"/>
  <c r="F34" i="1" s="1"/>
  <c r="F35" i="1" a="1"/>
  <c r="F35" i="1" s="1"/>
  <c r="F36" i="1" a="1"/>
  <c r="F36" i="1" s="1"/>
  <c r="F37" i="1" a="1"/>
  <c r="F37" i="1" s="1"/>
  <c r="F38" i="1" a="1"/>
  <c r="F38" i="1" s="1"/>
  <c r="F39" i="1" a="1"/>
  <c r="F39" i="1" s="1"/>
  <c r="F40" i="1" a="1"/>
  <c r="F40" i="1" s="1"/>
  <c r="F41" i="1" a="1"/>
  <c r="F41" i="1" s="1"/>
  <c r="F42" i="1" a="1"/>
  <c r="F42" i="1" s="1"/>
  <c r="F43" i="1" a="1"/>
  <c r="F43" i="1" s="1"/>
  <c r="F44" i="1" a="1"/>
  <c r="F44" i="1" s="1"/>
  <c r="F45" i="1" a="1"/>
  <c r="F45" i="1" s="1"/>
  <c r="F46" i="1" a="1"/>
  <c r="F46" i="1" s="1"/>
  <c r="F47" i="1" a="1"/>
  <c r="F47" i="1" s="1"/>
  <c r="F48" i="1" a="1"/>
  <c r="F48" i="1" s="1"/>
  <c r="F49" i="1" a="1"/>
  <c r="F49" i="1" s="1"/>
  <c r="F50" i="1" a="1"/>
  <c r="F50" i="1" s="1"/>
  <c r="F51" i="1" a="1"/>
  <c r="F51" i="1" s="1"/>
  <c r="F52" i="1" a="1"/>
  <c r="F52" i="1" s="1"/>
  <c r="F53" i="1" a="1"/>
  <c r="F53" i="1" s="1"/>
  <c r="F54" i="1" a="1"/>
  <c r="F54" i="1" s="1"/>
  <c r="F55" i="1" a="1"/>
  <c r="F55" i="1" s="1"/>
  <c r="F56" i="1" a="1"/>
  <c r="F56" i="1" s="1"/>
  <c r="F57" i="1" a="1"/>
  <c r="F57" i="1" s="1"/>
  <c r="F58" i="1" a="1"/>
  <c r="F58" i="1" s="1"/>
  <c r="F59" i="1" a="1"/>
  <c r="F59" i="1" s="1"/>
  <c r="F60" i="1" a="1"/>
  <c r="F60" i="1" s="1"/>
  <c r="F61" i="1" a="1"/>
  <c r="F61" i="1" s="1"/>
  <c r="F62" i="1" a="1"/>
  <c r="F62" i="1" s="1"/>
  <c r="F63" i="1" a="1"/>
  <c r="F63" i="1" s="1"/>
  <c r="F64" i="1" a="1"/>
  <c r="F64" i="1" s="1"/>
  <c r="F65" i="1" a="1"/>
  <c r="F65" i="1" s="1"/>
  <c r="F66" i="1" a="1"/>
  <c r="F66" i="1" s="1"/>
  <c r="F67" i="1" a="1"/>
  <c r="F67" i="1" s="1"/>
  <c r="F68" i="1" a="1"/>
  <c r="F68" i="1" s="1"/>
  <c r="F69" i="1" a="1"/>
  <c r="F69" i="1" s="1"/>
  <c r="F70" i="1" a="1"/>
  <c r="F70" i="1" s="1"/>
  <c r="F71" i="1" a="1"/>
  <c r="F71" i="1" s="1"/>
  <c r="F72" i="1" a="1"/>
  <c r="F72" i="1" s="1"/>
  <c r="F73" i="1" a="1"/>
  <c r="F73" i="1" s="1"/>
  <c r="F74" i="1" a="1"/>
  <c r="F74" i="1" s="1"/>
  <c r="F75" i="1" a="1"/>
  <c r="F75" i="1" s="1"/>
  <c r="F76" i="1" a="1"/>
  <c r="F76" i="1" s="1"/>
  <c r="F77" i="1" a="1"/>
  <c r="F77" i="1" s="1"/>
  <c r="F78" i="1" a="1"/>
  <c r="F78" i="1" s="1"/>
  <c r="F79" i="1" a="1"/>
  <c r="F79" i="1" s="1"/>
  <c r="F80" i="1" a="1"/>
  <c r="F80" i="1" s="1"/>
  <c r="F81" i="1" a="1"/>
  <c r="F81" i="1" s="1"/>
  <c r="F82" i="1" a="1"/>
  <c r="F82" i="1" s="1"/>
  <c r="F83" i="1" a="1"/>
  <c r="F83" i="1" s="1"/>
  <c r="F84" i="1" a="1"/>
  <c r="F84" i="1" s="1"/>
  <c r="F85" i="1" a="1"/>
  <c r="F85" i="1" s="1"/>
  <c r="F86" i="1" a="1"/>
  <c r="F86" i="1" s="1"/>
  <c r="F87" i="1" a="1"/>
  <c r="F87" i="1" s="1"/>
  <c r="F88" i="1" a="1"/>
  <c r="F88" i="1" s="1"/>
  <c r="F89" i="1" a="1"/>
  <c r="F89" i="1" s="1"/>
  <c r="F90" i="1" a="1"/>
  <c r="F90" i="1" s="1"/>
  <c r="F91" i="1" a="1"/>
  <c r="F91" i="1" s="1"/>
  <c r="F92" i="1" a="1"/>
  <c r="F92" i="1" s="1"/>
  <c r="F93" i="1" a="1"/>
  <c r="F93" i="1" s="1"/>
  <c r="F94" i="1" a="1"/>
  <c r="F94" i="1" s="1"/>
  <c r="F95" i="1" a="1"/>
  <c r="F95" i="1" s="1"/>
  <c r="F96" i="1" a="1"/>
  <c r="F96" i="1" s="1"/>
  <c r="F97" i="1" a="1"/>
  <c r="F97" i="1" s="1"/>
  <c r="F98" i="1" a="1"/>
  <c r="F98" i="1" s="1"/>
  <c r="F99" i="1" a="1"/>
  <c r="F99" i="1" s="1"/>
  <c r="F100" i="1" a="1"/>
  <c r="F100" i="1" s="1"/>
  <c r="F101" i="1" a="1"/>
  <c r="F101" i="1" s="1"/>
  <c r="F102" i="1" a="1"/>
  <c r="F102" i="1" s="1"/>
  <c r="F103" i="1" a="1"/>
  <c r="F103" i="1" s="1"/>
  <c r="F104" i="1" a="1"/>
  <c r="F104" i="1" s="1"/>
  <c r="F105" i="1" a="1"/>
  <c r="F105" i="1" s="1"/>
  <c r="F106" i="1" a="1"/>
  <c r="F106" i="1" s="1"/>
  <c r="F107" i="1" a="1"/>
  <c r="F107" i="1" s="1"/>
  <c r="F108" i="1" a="1"/>
  <c r="F108" i="1" s="1"/>
  <c r="F109" i="1" a="1"/>
  <c r="F109" i="1" s="1"/>
  <c r="F110" i="1" a="1"/>
  <c r="F110" i="1" s="1"/>
  <c r="F111" i="1" a="1"/>
  <c r="F111" i="1" s="1"/>
  <c r="F112" i="1" a="1"/>
  <c r="F112" i="1" s="1"/>
  <c r="F113" i="1" a="1"/>
  <c r="F113" i="1" s="1"/>
  <c r="F114" i="1" a="1"/>
  <c r="F114" i="1" s="1"/>
  <c r="F115" i="1" a="1"/>
  <c r="F115" i="1" s="1"/>
  <c r="F116" i="1" a="1"/>
  <c r="F116" i="1" s="1"/>
  <c r="F117" i="1" a="1"/>
  <c r="F117" i="1" s="1"/>
  <c r="E15" i="1" a="1"/>
  <c r="E15" i="1" s="1"/>
  <c r="E16" i="1" a="1"/>
  <c r="E16" i="1" s="1"/>
  <c r="E17" i="1" a="1"/>
  <c r="E17" i="1" s="1"/>
  <c r="E18" i="1" a="1"/>
  <c r="E18" i="1" s="1"/>
  <c r="E19" i="1" a="1"/>
  <c r="E19" i="1" s="1"/>
  <c r="E20" i="1" a="1"/>
  <c r="E20" i="1" s="1"/>
  <c r="E21" i="1" a="1"/>
  <c r="E21" i="1" s="1"/>
  <c r="E22" i="1" a="1"/>
  <c r="E22" i="1" s="1"/>
  <c r="E23" i="1" a="1"/>
  <c r="E23" i="1" s="1"/>
  <c r="E24" i="1" a="1"/>
  <c r="E24" i="1" s="1"/>
  <c r="E25" i="1" a="1"/>
  <c r="E25" i="1" s="1"/>
  <c r="E26" i="1" a="1"/>
  <c r="E26" i="1" s="1"/>
  <c r="E27" i="1" a="1"/>
  <c r="E27" i="1" s="1"/>
  <c r="E28" i="1" a="1"/>
  <c r="E28" i="1" s="1"/>
  <c r="E29" i="1" a="1"/>
  <c r="E29" i="1" s="1"/>
  <c r="E30" i="1" a="1"/>
  <c r="E30" i="1" s="1"/>
  <c r="E31" i="1" a="1"/>
  <c r="E31" i="1" s="1"/>
  <c r="E32" i="1" a="1"/>
  <c r="E32" i="1" s="1"/>
  <c r="E33" i="1" a="1"/>
  <c r="E33" i="1" s="1"/>
  <c r="E34" i="1" a="1"/>
  <c r="E34" i="1" s="1"/>
  <c r="E35" i="1" a="1"/>
  <c r="E35" i="1" s="1"/>
  <c r="E36" i="1" a="1"/>
  <c r="E36" i="1" s="1"/>
  <c r="E37" i="1" a="1"/>
  <c r="E37" i="1" s="1"/>
  <c r="E38" i="1" a="1"/>
  <c r="E38" i="1" s="1"/>
  <c r="E39" i="1" a="1"/>
  <c r="E39" i="1" s="1"/>
  <c r="E40" i="1" a="1"/>
  <c r="E40" i="1" s="1"/>
  <c r="E41" i="1" a="1"/>
  <c r="E41" i="1" s="1"/>
  <c r="E42" i="1" a="1"/>
  <c r="E42" i="1" s="1"/>
  <c r="E43" i="1" a="1"/>
  <c r="E43" i="1" s="1"/>
  <c r="E44" i="1" a="1"/>
  <c r="E44" i="1" s="1"/>
  <c r="E45" i="1" a="1"/>
  <c r="E45" i="1" s="1"/>
  <c r="E46" i="1" a="1"/>
  <c r="E46" i="1" s="1"/>
  <c r="E47" i="1" a="1"/>
  <c r="E47" i="1" s="1"/>
  <c r="E48" i="1" a="1"/>
  <c r="E48" i="1" s="1"/>
  <c r="E49" i="1" a="1"/>
  <c r="E49" i="1" s="1"/>
  <c r="E50" i="1" a="1"/>
  <c r="E50" i="1" s="1"/>
  <c r="E51" i="1" a="1"/>
  <c r="E51" i="1" s="1"/>
  <c r="E52" i="1" a="1"/>
  <c r="E52" i="1" s="1"/>
  <c r="E53" i="1" a="1"/>
  <c r="E53" i="1" s="1"/>
  <c r="E54" i="1" a="1"/>
  <c r="E54" i="1" s="1"/>
  <c r="E55" i="1" a="1"/>
  <c r="E55" i="1" s="1"/>
  <c r="E56" i="1" a="1"/>
  <c r="E56" i="1" s="1"/>
  <c r="E57" i="1" a="1"/>
  <c r="E57" i="1" s="1"/>
  <c r="E58" i="1" a="1"/>
  <c r="E58" i="1" s="1"/>
  <c r="E59" i="1" a="1"/>
  <c r="E59" i="1" s="1"/>
  <c r="E60" i="1" a="1"/>
  <c r="E60" i="1" s="1"/>
  <c r="E61" i="1" a="1"/>
  <c r="E61" i="1" s="1"/>
  <c r="E62" i="1" a="1"/>
  <c r="E62" i="1"/>
  <c r="E63" i="1" a="1"/>
  <c r="E63" i="1" s="1"/>
  <c r="E64" i="1" a="1"/>
  <c r="E64" i="1" s="1"/>
  <c r="E65" i="1" a="1"/>
  <c r="E65" i="1" s="1"/>
  <c r="E66" i="1" a="1"/>
  <c r="E66" i="1" s="1"/>
  <c r="E67" i="1" a="1"/>
  <c r="E67" i="1" s="1"/>
  <c r="E68" i="1" a="1"/>
  <c r="E68" i="1" s="1"/>
  <c r="E69" i="1" a="1"/>
  <c r="E69" i="1" s="1"/>
  <c r="E70" i="1" a="1"/>
  <c r="E70" i="1" s="1"/>
  <c r="E71" i="1" a="1"/>
  <c r="E71" i="1" s="1"/>
  <c r="E72" i="1" a="1"/>
  <c r="E72" i="1" s="1"/>
  <c r="E73" i="1" a="1"/>
  <c r="E73" i="1" s="1"/>
  <c r="E74" i="1" a="1"/>
  <c r="E74" i="1"/>
  <c r="E75" i="1" a="1"/>
  <c r="E75" i="1" s="1"/>
  <c r="E76" i="1" a="1"/>
  <c r="E76" i="1" s="1"/>
  <c r="E77" i="1" a="1"/>
  <c r="E77" i="1" s="1"/>
  <c r="E78" i="1" a="1"/>
  <c r="E78" i="1" s="1"/>
  <c r="E79" i="1" a="1"/>
  <c r="E79" i="1" s="1"/>
  <c r="E80" i="1" a="1"/>
  <c r="E80" i="1" s="1"/>
  <c r="E81" i="1" a="1"/>
  <c r="E81" i="1" s="1"/>
  <c r="E82" i="1" a="1"/>
  <c r="E82" i="1" s="1"/>
  <c r="E83" i="1" a="1"/>
  <c r="E83" i="1" s="1"/>
  <c r="E84" i="1" a="1"/>
  <c r="E84" i="1" s="1"/>
  <c r="E85" i="1" a="1"/>
  <c r="E85" i="1" s="1"/>
  <c r="E86" i="1" a="1"/>
  <c r="E86" i="1" s="1"/>
  <c r="E87" i="1" a="1"/>
  <c r="E87" i="1" s="1"/>
  <c r="E88" i="1" a="1"/>
  <c r="E88" i="1" s="1"/>
  <c r="E89" i="1" a="1"/>
  <c r="E89" i="1" s="1"/>
  <c r="E90" i="1" a="1"/>
  <c r="E90" i="1" s="1"/>
  <c r="E91" i="1" a="1"/>
  <c r="E91" i="1" s="1"/>
  <c r="E92" i="1" a="1"/>
  <c r="E92" i="1" s="1"/>
  <c r="E93" i="1" a="1"/>
  <c r="E93" i="1" s="1"/>
  <c r="E94" i="1" a="1"/>
  <c r="E94" i="1" s="1"/>
  <c r="E95" i="1" a="1"/>
  <c r="E95" i="1" s="1"/>
  <c r="E96" i="1" a="1"/>
  <c r="E96" i="1" s="1"/>
  <c r="E97" i="1" a="1"/>
  <c r="E97" i="1" s="1"/>
  <c r="E98" i="1" a="1"/>
  <c r="E98" i="1" s="1"/>
  <c r="E99" i="1" a="1"/>
  <c r="E99" i="1" s="1"/>
  <c r="E100" i="1" a="1"/>
  <c r="E100" i="1" s="1"/>
  <c r="E101" i="1" a="1"/>
  <c r="E101" i="1" s="1"/>
  <c r="E102" i="1" a="1"/>
  <c r="E102" i="1" s="1"/>
  <c r="E103" i="1" a="1"/>
  <c r="E103" i="1" s="1"/>
  <c r="E104" i="1" a="1"/>
  <c r="E104" i="1" s="1"/>
  <c r="E105" i="1" a="1"/>
  <c r="E105" i="1" s="1"/>
  <c r="E106" i="1" a="1"/>
  <c r="E106" i="1" s="1"/>
  <c r="E107" i="1" a="1"/>
  <c r="E107" i="1" s="1"/>
  <c r="E108" i="1" a="1"/>
  <c r="E108" i="1" s="1"/>
  <c r="E109" i="1" a="1"/>
  <c r="E109" i="1" s="1"/>
  <c r="E110" i="1" a="1"/>
  <c r="E110" i="1" s="1"/>
  <c r="E111" i="1" a="1"/>
  <c r="E111" i="1" s="1"/>
  <c r="E112" i="1" a="1"/>
  <c r="E112" i="1" s="1"/>
  <c r="E113" i="1" a="1"/>
  <c r="E113" i="1" s="1"/>
  <c r="E114" i="1" a="1"/>
  <c r="E114" i="1" s="1"/>
  <c r="E115" i="1" a="1"/>
  <c r="E115" i="1" s="1"/>
  <c r="E116" i="1" a="1"/>
  <c r="E116" i="1" s="1"/>
  <c r="E117" i="1" a="1"/>
  <c r="E117" i="1" s="1"/>
  <c r="D15" i="1" a="1"/>
  <c r="D15" i="1" s="1"/>
  <c r="D16" i="1" a="1"/>
  <c r="D16" i="1" s="1"/>
  <c r="D17" i="1" a="1"/>
  <c r="D17" i="1" s="1"/>
  <c r="D18" i="1" a="1"/>
  <c r="D18" i="1" s="1"/>
  <c r="D19" i="1" a="1"/>
  <c r="D19" i="1" s="1"/>
  <c r="D20" i="1" a="1"/>
  <c r="D20" i="1"/>
  <c r="D21" i="1" a="1"/>
  <c r="D21" i="1" s="1"/>
  <c r="D22" i="1" a="1"/>
  <c r="D22" i="1" s="1"/>
  <c r="D23" i="1" a="1"/>
  <c r="D23" i="1" s="1"/>
  <c r="D24" i="1" a="1"/>
  <c r="D24" i="1" s="1"/>
  <c r="D25" i="1" a="1"/>
  <c r="D25" i="1" s="1"/>
  <c r="D26" i="1" a="1"/>
  <c r="D26" i="1" s="1"/>
  <c r="D27" i="1" a="1"/>
  <c r="D27" i="1" s="1"/>
  <c r="D28" i="1" a="1"/>
  <c r="D28" i="1" s="1"/>
  <c r="D29" i="1" a="1"/>
  <c r="D29" i="1" s="1"/>
  <c r="D30" i="1" a="1"/>
  <c r="D30" i="1" s="1"/>
  <c r="D31" i="1" a="1"/>
  <c r="D31" i="1" s="1"/>
  <c r="D32" i="1" a="1"/>
  <c r="D32" i="1"/>
  <c r="D33" i="1" a="1"/>
  <c r="D33" i="1" s="1"/>
  <c r="D34" i="1" a="1"/>
  <c r="D34" i="1" s="1"/>
  <c r="D35" i="1" a="1"/>
  <c r="D35" i="1" s="1"/>
  <c r="D36" i="1" a="1"/>
  <c r="D36" i="1" s="1"/>
  <c r="D37" i="1" a="1"/>
  <c r="D37" i="1" s="1"/>
  <c r="D38" i="1" a="1"/>
  <c r="D38" i="1"/>
  <c r="D39" i="1" a="1"/>
  <c r="D39" i="1" s="1"/>
  <c r="D40" i="1" a="1"/>
  <c r="D40" i="1" s="1"/>
  <c r="D41" i="1" a="1"/>
  <c r="D41" i="1" s="1"/>
  <c r="D42" i="1" a="1"/>
  <c r="D42" i="1" s="1"/>
  <c r="D43" i="1" a="1"/>
  <c r="D43" i="1" s="1"/>
  <c r="D44" i="1" a="1"/>
  <c r="D44" i="1" s="1"/>
  <c r="D45" i="1" a="1"/>
  <c r="D45" i="1" s="1"/>
  <c r="D46" i="1" a="1"/>
  <c r="D46" i="1" s="1"/>
  <c r="D47" i="1" a="1"/>
  <c r="D47" i="1" s="1"/>
  <c r="D48" i="1" a="1"/>
  <c r="D48" i="1" s="1"/>
  <c r="D49" i="1" a="1"/>
  <c r="D49" i="1" s="1"/>
  <c r="D50" i="1" a="1"/>
  <c r="D50" i="1" s="1"/>
  <c r="D51" i="1" a="1"/>
  <c r="D51" i="1" s="1"/>
  <c r="D52" i="1" a="1"/>
  <c r="D52" i="1"/>
  <c r="D53" i="1" a="1"/>
  <c r="D53" i="1" s="1"/>
  <c r="D54" i="1" a="1"/>
  <c r="D54" i="1" s="1"/>
  <c r="D55" i="1" a="1"/>
  <c r="D55" i="1" s="1"/>
  <c r="D56" i="1" a="1"/>
  <c r="D56" i="1" s="1"/>
  <c r="D57" i="1" a="1"/>
  <c r="D57" i="1" s="1"/>
  <c r="D58" i="1" a="1"/>
  <c r="D58" i="1" s="1"/>
  <c r="D59" i="1" a="1"/>
  <c r="D59" i="1" s="1"/>
  <c r="D60" i="1" a="1"/>
  <c r="D60" i="1" s="1"/>
  <c r="D61" i="1" a="1"/>
  <c r="D61" i="1" s="1"/>
  <c r="D62" i="1" a="1"/>
  <c r="D62" i="1" s="1"/>
  <c r="D63" i="1" a="1"/>
  <c r="D63" i="1" s="1"/>
  <c r="D64" i="1" a="1"/>
  <c r="D64" i="1"/>
  <c r="D65" i="1" a="1"/>
  <c r="D65" i="1" s="1"/>
  <c r="D66" i="1" a="1"/>
  <c r="D66" i="1"/>
  <c r="D67" i="1" a="1"/>
  <c r="D67" i="1" s="1"/>
  <c r="D68" i="1" a="1"/>
  <c r="D68" i="1" s="1"/>
  <c r="D69" i="1" a="1"/>
  <c r="D69" i="1" s="1"/>
  <c r="D70" i="1" a="1"/>
  <c r="D70" i="1"/>
  <c r="D71" i="1" a="1"/>
  <c r="D71" i="1" s="1"/>
  <c r="D72" i="1" a="1"/>
  <c r="D72" i="1" s="1"/>
  <c r="D73" i="1" a="1"/>
  <c r="D73" i="1" s="1"/>
  <c r="D74" i="1" a="1"/>
  <c r="D74" i="1" s="1"/>
  <c r="D75" i="1" a="1"/>
  <c r="D75" i="1" s="1"/>
  <c r="D76" i="1" a="1"/>
  <c r="D76" i="1" s="1"/>
  <c r="D77" i="1" a="1"/>
  <c r="D77" i="1" s="1"/>
  <c r="D78" i="1" a="1"/>
  <c r="D78" i="1" s="1"/>
  <c r="D79" i="1" a="1"/>
  <c r="D79" i="1" s="1"/>
  <c r="D80" i="1" a="1"/>
  <c r="D80" i="1" s="1"/>
  <c r="D81" i="1" a="1"/>
  <c r="D81" i="1" s="1"/>
  <c r="D82" i="1" a="1"/>
  <c r="D82" i="1" s="1"/>
  <c r="D83" i="1" a="1"/>
  <c r="D83" i="1" s="1"/>
  <c r="D84" i="1" a="1"/>
  <c r="D84" i="1" s="1"/>
  <c r="D85" i="1" a="1"/>
  <c r="D85" i="1" s="1"/>
  <c r="D86" i="1" a="1"/>
  <c r="D86" i="1" s="1"/>
  <c r="D87" i="1" a="1"/>
  <c r="D87" i="1" s="1"/>
  <c r="D88" i="1" a="1"/>
  <c r="D88" i="1" s="1"/>
  <c r="D89" i="1" a="1"/>
  <c r="D89" i="1" s="1"/>
  <c r="D90" i="1" a="1"/>
  <c r="D90" i="1" s="1"/>
  <c r="D91" i="1" a="1"/>
  <c r="D91" i="1" s="1"/>
  <c r="D92" i="1" a="1"/>
  <c r="D92" i="1" s="1"/>
  <c r="D93" i="1" a="1"/>
  <c r="D93" i="1" s="1"/>
  <c r="D94" i="1" a="1"/>
  <c r="D94" i="1" s="1"/>
  <c r="D95" i="1" a="1"/>
  <c r="D95" i="1" s="1"/>
  <c r="D96" i="1" a="1"/>
  <c r="D96" i="1" s="1"/>
  <c r="D97" i="1" a="1"/>
  <c r="D97" i="1" s="1"/>
  <c r="D98" i="1" a="1"/>
  <c r="D98" i="1" s="1"/>
  <c r="D99" i="1" a="1"/>
  <c r="D99" i="1" s="1"/>
  <c r="D100" i="1" a="1"/>
  <c r="D100" i="1" s="1"/>
  <c r="D101" i="1" a="1"/>
  <c r="D101" i="1" s="1"/>
  <c r="D102" i="1" a="1"/>
  <c r="D102" i="1" s="1"/>
  <c r="D103" i="1" a="1"/>
  <c r="D103" i="1" s="1"/>
  <c r="D104" i="1" a="1"/>
  <c r="D104" i="1" s="1"/>
  <c r="D105" i="1" a="1"/>
  <c r="D105" i="1" s="1"/>
  <c r="D106" i="1" a="1"/>
  <c r="D106" i="1" s="1"/>
  <c r="D107" i="1" a="1"/>
  <c r="D107" i="1" s="1"/>
  <c r="D108" i="1" a="1"/>
  <c r="D108" i="1" s="1"/>
  <c r="D109" i="1" a="1"/>
  <c r="D109" i="1" s="1"/>
  <c r="D110" i="1" a="1"/>
  <c r="D110" i="1" s="1"/>
  <c r="D111" i="1" a="1"/>
  <c r="D111" i="1" s="1"/>
  <c r="D112" i="1" a="1"/>
  <c r="D112" i="1" s="1"/>
  <c r="D113" i="1" a="1"/>
  <c r="D113" i="1" s="1"/>
  <c r="D114" i="1" a="1"/>
  <c r="D114" i="1" s="1"/>
  <c r="D115" i="1" a="1"/>
  <c r="D115" i="1" s="1"/>
  <c r="D116" i="1" a="1"/>
  <c r="D116" i="1" s="1"/>
  <c r="D117" i="1" a="1"/>
  <c r="D117" i="1" s="1"/>
  <c r="F6" i="1" a="1"/>
  <c r="F6" i="1" s="1"/>
  <c r="F7" i="1" a="1"/>
  <c r="F7" i="1" s="1"/>
  <c r="F8" i="1" a="1"/>
  <c r="F8" i="1" s="1"/>
  <c r="F9" i="1" a="1"/>
  <c r="F9" i="1" s="1"/>
  <c r="F10" i="1" a="1"/>
  <c r="F10" i="1" s="1"/>
  <c r="F11" i="1" a="1"/>
  <c r="F11" i="1" s="1"/>
  <c r="F12" i="1" a="1"/>
  <c r="F12" i="1" s="1"/>
  <c r="F13" i="1" a="1"/>
  <c r="F13" i="1" s="1"/>
  <c r="F14" i="1" a="1"/>
  <c r="F14" i="1" s="1"/>
  <c r="E6" i="1" a="1"/>
  <c r="E6" i="1" s="1"/>
  <c r="E7" i="1" a="1"/>
  <c r="E7" i="1" s="1"/>
  <c r="E8" i="1" a="1"/>
  <c r="E8" i="1" s="1"/>
  <c r="E9" i="1" a="1"/>
  <c r="E9" i="1" s="1"/>
  <c r="E10" i="1" a="1"/>
  <c r="E10" i="1" s="1"/>
  <c r="E11" i="1" a="1"/>
  <c r="E11" i="1" s="1"/>
  <c r="E12" i="1" a="1"/>
  <c r="E12" i="1" s="1"/>
  <c r="E13" i="1" a="1"/>
  <c r="E13" i="1" s="1"/>
  <c r="E14" i="1" a="1"/>
  <c r="E14" i="1" s="1"/>
  <c r="D6" i="1" a="1"/>
  <c r="D6" i="1" s="1"/>
  <c r="D7" i="1" a="1"/>
  <c r="D7" i="1" s="1"/>
  <c r="D8" i="1" a="1"/>
  <c r="D8" i="1" s="1"/>
  <c r="D9" i="1" a="1"/>
  <c r="D9" i="1" s="1"/>
  <c r="D10" i="1" a="1"/>
  <c r="D10" i="1" s="1"/>
  <c r="D11" i="1" a="1"/>
  <c r="D11" i="1" s="1"/>
  <c r="D12" i="1" a="1"/>
  <c r="D12" i="1" s="1"/>
  <c r="D13" i="1" a="1"/>
  <c r="D13" i="1" s="1"/>
  <c r="D14" i="1" a="1"/>
  <c r="D14" i="1" s="1"/>
  <c r="F5" i="1" a="1"/>
  <c r="F5" i="1" s="1"/>
  <c r="E5" i="1" a="1"/>
  <c r="E5" i="1" s="1"/>
  <c r="D5" i="1" a="1"/>
  <c r="D5" i="1" s="1"/>
  <c r="C5" i="1" a="1"/>
  <c r="C5" i="1" s="1"/>
  <c r="E3" i="1" a="1"/>
  <c r="E3" i="1" s="1"/>
  <c r="F3" i="1" a="1"/>
  <c r="F3" i="1" s="1"/>
  <c r="F2" i="1" a="1"/>
  <c r="F2" i="1" s="1"/>
  <c r="E2" i="1" a="1"/>
  <c r="E2" i="1" s="1"/>
  <c r="D3" i="1" a="1"/>
  <c r="D3" i="1" s="1"/>
  <c r="D2" i="1" a="1"/>
  <c r="D2" i="1" s="1"/>
  <c r="C2" i="1" a="1"/>
  <c r="C2" i="1" s="1"/>
  <c r="C3" i="1" a="1"/>
  <c r="C3" i="1" s="1"/>
  <c r="B3" i="1" a="1"/>
  <c r="B3" i="1" s="1"/>
  <c r="B2" i="1" a="1"/>
  <c r="B2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C68" i="1" a="1"/>
  <c r="C68" i="1" s="1"/>
  <c r="C69" i="1" a="1"/>
  <c r="C69" i="1" s="1"/>
  <c r="C70" i="1" a="1"/>
  <c r="C70" i="1" s="1"/>
  <c r="C71" i="1" a="1"/>
  <c r="C71" i="1" s="1"/>
  <c r="C72" i="1" a="1"/>
  <c r="C72" i="1" s="1"/>
  <c r="C73" i="1" a="1"/>
  <c r="C73" i="1" s="1"/>
  <c r="C74" i="1" a="1"/>
  <c r="C74" i="1" s="1"/>
  <c r="C75" i="1" a="1"/>
  <c r="C75" i="1" s="1"/>
  <c r="C76" i="1" a="1"/>
  <c r="C76" i="1" s="1"/>
  <c r="C77" i="1" a="1"/>
  <c r="C77" i="1" s="1"/>
  <c r="C78" i="1" a="1"/>
  <c r="C78" i="1" s="1"/>
  <c r="C79" i="1" a="1"/>
  <c r="C79" i="1" s="1"/>
  <c r="C80" i="1" a="1"/>
  <c r="C80" i="1" s="1"/>
  <c r="C81" i="1" a="1"/>
  <c r="C81" i="1" s="1"/>
  <c r="C82" i="1" a="1"/>
  <c r="C82" i="1" s="1"/>
  <c r="C83" i="1" a="1"/>
  <c r="C83" i="1" s="1"/>
  <c r="C84" i="1" a="1"/>
  <c r="C84" i="1" s="1"/>
  <c r="C85" i="1" a="1"/>
  <c r="C85" i="1" s="1"/>
  <c r="C86" i="1" a="1"/>
  <c r="C86" i="1" s="1"/>
  <c r="C87" i="1" a="1"/>
  <c r="C87" i="1" s="1"/>
  <c r="C88" i="1" a="1"/>
  <c r="C88" i="1" s="1"/>
  <c r="C89" i="1" a="1"/>
  <c r="C89" i="1" s="1"/>
  <c r="C90" i="1" a="1"/>
  <c r="C90" i="1" s="1"/>
  <c r="C91" i="1" a="1"/>
  <c r="C91" i="1" s="1"/>
  <c r="C92" i="1" a="1"/>
  <c r="C92" i="1" s="1"/>
  <c r="C93" i="1" a="1"/>
  <c r="C93" i="1" s="1"/>
  <c r="C94" i="1" a="1"/>
  <c r="C94" i="1" s="1"/>
  <c r="C95" i="1" a="1"/>
  <c r="C95" i="1" s="1"/>
  <c r="C96" i="1" a="1"/>
  <c r="C96" i="1" s="1"/>
  <c r="C97" i="1" a="1"/>
  <c r="C97" i="1" s="1"/>
  <c r="C98" i="1" a="1"/>
  <c r="C98" i="1" s="1"/>
  <c r="C99" i="1" a="1"/>
  <c r="C99" i="1" s="1"/>
  <c r="C100" i="1" a="1"/>
  <c r="C100" i="1" s="1"/>
  <c r="C101" i="1" a="1"/>
  <c r="C101" i="1" s="1"/>
  <c r="C102" i="1" a="1"/>
  <c r="C102" i="1" s="1"/>
  <c r="C103" i="1" a="1"/>
  <c r="C103" i="1" s="1"/>
  <c r="C104" i="1" a="1"/>
  <c r="C104" i="1" s="1"/>
  <c r="C105" i="1" a="1"/>
  <c r="C105" i="1" s="1"/>
  <c r="C106" i="1" a="1"/>
  <c r="C106" i="1" s="1"/>
  <c r="C107" i="1" a="1"/>
  <c r="C107" i="1" s="1"/>
  <c r="C108" i="1" a="1"/>
  <c r="C108" i="1" s="1"/>
  <c r="C109" i="1" a="1"/>
  <c r="C109" i="1" s="1"/>
  <c r="C110" i="1" a="1"/>
  <c r="C110" i="1" s="1"/>
  <c r="C111" i="1" a="1"/>
  <c r="C111" i="1" s="1"/>
  <c r="C112" i="1" a="1"/>
  <c r="C112" i="1" s="1"/>
  <c r="C113" i="1" a="1"/>
  <c r="C113" i="1" s="1"/>
  <c r="C114" i="1" a="1"/>
  <c r="C114" i="1" s="1"/>
  <c r="C115" i="1" a="1"/>
  <c r="C115" i="1" s="1"/>
  <c r="C117" i="1" a="1"/>
  <c r="C117" i="1" s="1"/>
  <c r="B5" i="1" a="1"/>
  <c r="B5" i="1" s="1"/>
  <c r="B15" i="1" a="1"/>
  <c r="B15" i="1" s="1"/>
  <c r="B16" i="1" a="1"/>
  <c r="B16" i="1" s="1"/>
  <c r="B17" i="1" a="1"/>
  <c r="B17" i="1" s="1"/>
  <c r="B6" i="1" a="1"/>
  <c r="B6" i="1" s="1"/>
  <c r="J3" i="15" l="1"/>
  <c r="J17" i="15"/>
  <c r="I5" i="15"/>
  <c r="J11" i="15"/>
  <c r="I21" i="15"/>
  <c r="J15" i="15"/>
  <c r="J5" i="15"/>
  <c r="I15" i="15"/>
  <c r="J9" i="15"/>
  <c r="J31" i="15"/>
  <c r="I25" i="15"/>
  <c r="I7" i="15"/>
  <c r="J13" i="15"/>
  <c r="I23" i="15"/>
  <c r="J25" i="15"/>
  <c r="J7" i="15"/>
  <c r="J23" i="15"/>
  <c r="I19" i="15"/>
  <c r="I4" i="15"/>
  <c r="I11" i="15"/>
  <c r="J19" i="15"/>
  <c r="J29" i="15"/>
  <c r="I13" i="15"/>
  <c r="J21" i="15"/>
  <c r="I9" i="15"/>
  <c r="I17" i="15"/>
  <c r="J27" i="15"/>
  <c r="J4" i="15"/>
  <c r="I3" i="15"/>
  <c r="G60" i="2"/>
  <c r="G61" i="2"/>
  <c r="G62" i="2"/>
  <c r="G63" i="2"/>
  <c r="G64" i="2"/>
  <c r="G65" i="2"/>
  <c r="G66" i="2"/>
  <c r="G67" i="2"/>
  <c r="G68" i="2"/>
  <c r="G69" i="2"/>
  <c r="G59" i="2"/>
  <c r="D14" i="2"/>
  <c r="E14" i="2"/>
  <c r="F14" i="2"/>
  <c r="G14" i="2"/>
  <c r="I14" i="2"/>
  <c r="J14" i="2"/>
  <c r="K14" i="2"/>
  <c r="L14" i="2"/>
  <c r="M14" i="2"/>
  <c r="C14" i="2"/>
  <c r="I6" i="1"/>
  <c r="I15" i="1"/>
  <c r="I16" i="1"/>
  <c r="I17" i="1"/>
  <c r="B55" i="1" a="1"/>
  <c r="B55" i="1" s="1"/>
  <c r="I55" i="1" s="1"/>
  <c r="B56" i="1" a="1"/>
  <c r="B56" i="1" s="1"/>
  <c r="I56" i="1" s="1"/>
  <c r="B57" i="1" a="1"/>
  <c r="B57" i="1" s="1"/>
  <c r="I57" i="1" s="1"/>
  <c r="B58" i="1" a="1"/>
  <c r="B58" i="1" s="1"/>
  <c r="I58" i="1" s="1"/>
  <c r="B59" i="1" a="1"/>
  <c r="B59" i="1" s="1"/>
  <c r="I59" i="1" s="1"/>
  <c r="B60" i="1" a="1"/>
  <c r="B60" i="1" s="1"/>
  <c r="I60" i="1" s="1"/>
  <c r="B61" i="1" a="1"/>
  <c r="B61" i="1" s="1"/>
  <c r="I61" i="1" s="1"/>
  <c r="B62" i="1" a="1"/>
  <c r="B62" i="1" s="1"/>
  <c r="I62" i="1" s="1"/>
  <c r="B63" i="1" a="1"/>
  <c r="B63" i="1" s="1"/>
  <c r="I63" i="1" s="1"/>
  <c r="B64" i="1" a="1"/>
  <c r="B64" i="1" s="1"/>
  <c r="I64" i="1" s="1"/>
  <c r="B65" i="1" a="1"/>
  <c r="B65" i="1" s="1"/>
  <c r="I65" i="1" s="1"/>
  <c r="B66" i="1" a="1"/>
  <c r="B66" i="1" s="1"/>
  <c r="I66" i="1" s="1"/>
  <c r="B67" i="1" a="1"/>
  <c r="B67" i="1" s="1"/>
  <c r="I67" i="1" s="1"/>
  <c r="B68" i="1" a="1"/>
  <c r="B68" i="1" s="1"/>
  <c r="I68" i="1" s="1"/>
  <c r="B69" i="1" a="1"/>
  <c r="B69" i="1" s="1"/>
  <c r="I69" i="1" s="1"/>
  <c r="B70" i="1" a="1"/>
  <c r="B70" i="1" s="1"/>
  <c r="I70" i="1" s="1"/>
  <c r="B71" i="1" a="1"/>
  <c r="B71" i="1" s="1"/>
  <c r="I71" i="1" s="1"/>
  <c r="B72" i="1" a="1"/>
  <c r="B72" i="1" s="1"/>
  <c r="I72" i="1" s="1"/>
  <c r="B73" i="1" a="1"/>
  <c r="B73" i="1" s="1"/>
  <c r="I73" i="1" s="1"/>
  <c r="B74" i="1" a="1"/>
  <c r="B74" i="1" s="1"/>
  <c r="I74" i="1" s="1"/>
  <c r="B75" i="1" a="1"/>
  <c r="B75" i="1" s="1"/>
  <c r="B76" i="1" a="1"/>
  <c r="B76" i="1" s="1"/>
  <c r="I76" i="1" s="1"/>
  <c r="B77" i="1" a="1"/>
  <c r="B77" i="1" s="1"/>
  <c r="I77" i="1" s="1"/>
  <c r="B78" i="1" a="1"/>
  <c r="B78" i="1" s="1"/>
  <c r="I78" i="1" s="1"/>
  <c r="B79" i="1" a="1"/>
  <c r="B79" i="1" s="1"/>
  <c r="I79" i="1" s="1"/>
  <c r="B80" i="1" a="1"/>
  <c r="B80" i="1" s="1"/>
  <c r="I80" i="1" s="1"/>
  <c r="B81" i="1" a="1"/>
  <c r="B81" i="1" s="1"/>
  <c r="I81" i="1" s="1"/>
  <c r="B82" i="1" a="1"/>
  <c r="B82" i="1" s="1"/>
  <c r="I82" i="1" s="1"/>
  <c r="B83" i="1" a="1"/>
  <c r="B83" i="1" s="1"/>
  <c r="I83" i="1" s="1"/>
  <c r="B84" i="1" a="1"/>
  <c r="B84" i="1" s="1"/>
  <c r="I84" i="1" s="1"/>
  <c r="B85" i="1" a="1"/>
  <c r="B85" i="1" s="1"/>
  <c r="I85" i="1" s="1"/>
  <c r="B86" i="1" a="1"/>
  <c r="B86" i="1" s="1"/>
  <c r="I86" i="1" s="1"/>
  <c r="B87" i="1" a="1"/>
  <c r="B87" i="1" s="1"/>
  <c r="I87" i="1" s="1"/>
  <c r="B88" i="1" a="1"/>
  <c r="B88" i="1" s="1"/>
  <c r="I88" i="1" s="1"/>
  <c r="B89" i="1" a="1"/>
  <c r="B89" i="1" s="1"/>
  <c r="I89" i="1" s="1"/>
  <c r="I90" i="1"/>
  <c r="B91" i="1" a="1"/>
  <c r="B91" i="1" s="1"/>
  <c r="I91" i="1" s="1"/>
  <c r="B92" i="1" a="1"/>
  <c r="B92" i="1" s="1"/>
  <c r="I92" i="1" s="1"/>
  <c r="B93" i="1" a="1"/>
  <c r="B93" i="1" s="1"/>
  <c r="I93" i="1" s="1"/>
  <c r="B94" i="1" a="1"/>
  <c r="B94" i="1" s="1"/>
  <c r="I94" i="1" s="1"/>
  <c r="B95" i="1" a="1"/>
  <c r="B95" i="1" s="1"/>
  <c r="I95" i="1" s="1"/>
  <c r="B96" i="1" a="1"/>
  <c r="B96" i="1" s="1"/>
  <c r="I96" i="1" s="1"/>
  <c r="B97" i="1" a="1"/>
  <c r="B97" i="1" s="1"/>
  <c r="I97" i="1" s="1"/>
  <c r="B98" i="1" a="1"/>
  <c r="B98" i="1" s="1"/>
  <c r="I98" i="1" s="1"/>
  <c r="B99" i="1" a="1"/>
  <c r="B99" i="1" s="1"/>
  <c r="I99" i="1" s="1"/>
  <c r="B100" i="1" a="1"/>
  <c r="B100" i="1" s="1"/>
  <c r="I100" i="1" s="1"/>
  <c r="B101" i="1" a="1"/>
  <c r="B101" i="1" s="1"/>
  <c r="I101" i="1" s="1"/>
  <c r="B102" i="1" a="1"/>
  <c r="B102" i="1" s="1"/>
  <c r="I102" i="1" s="1"/>
  <c r="B103" i="1" a="1"/>
  <c r="B103" i="1" s="1"/>
  <c r="I103" i="1" s="1"/>
  <c r="B104" i="1" a="1"/>
  <c r="B104" i="1" s="1"/>
  <c r="I104" i="1" s="1"/>
  <c r="B105" i="1" a="1"/>
  <c r="B105" i="1" s="1"/>
  <c r="I105" i="1" s="1"/>
  <c r="B106" i="1" a="1"/>
  <c r="B106" i="1" s="1"/>
  <c r="I106" i="1" s="1"/>
  <c r="B107" i="1" a="1"/>
  <c r="B107" i="1" s="1"/>
  <c r="I107" i="1" s="1"/>
  <c r="B108" i="1" a="1"/>
  <c r="B108" i="1" s="1"/>
  <c r="I108" i="1" s="1"/>
  <c r="B109" i="1" a="1"/>
  <c r="B109" i="1" s="1"/>
  <c r="I109" i="1" s="1"/>
  <c r="B110" i="1" a="1"/>
  <c r="B110" i="1" s="1"/>
  <c r="I110" i="1" s="1"/>
  <c r="B111" i="1" a="1"/>
  <c r="B111" i="1" s="1"/>
  <c r="I111" i="1" s="1"/>
  <c r="B112" i="1" a="1"/>
  <c r="B112" i="1" s="1"/>
  <c r="I112" i="1" s="1"/>
  <c r="B113" i="1" a="1"/>
  <c r="B113" i="1" s="1"/>
  <c r="I113" i="1" s="1"/>
  <c r="B114" i="1" a="1"/>
  <c r="B114" i="1" s="1"/>
  <c r="I114" i="1" s="1"/>
  <c r="B20" i="1" a="1"/>
  <c r="B20" i="1" s="1"/>
  <c r="I20" i="1" s="1"/>
  <c r="B7" i="1" a="1"/>
  <c r="B7" i="1" s="1"/>
  <c r="I7" i="1" s="1"/>
  <c r="B8" i="1" a="1"/>
  <c r="B8" i="1" s="1"/>
  <c r="I8" i="1" s="1"/>
  <c r="B9" i="1" a="1"/>
  <c r="B9" i="1" s="1"/>
  <c r="I9" i="1" s="1"/>
  <c r="B10" i="1" a="1"/>
  <c r="B10" i="1" s="1"/>
  <c r="I10" i="1" s="1"/>
  <c r="B11" i="1" a="1"/>
  <c r="B11" i="1" s="1"/>
  <c r="I11" i="1" s="1"/>
  <c r="B12" i="1" a="1"/>
  <c r="B12" i="1" s="1"/>
  <c r="I12" i="1" s="1"/>
  <c r="B13" i="1" a="1"/>
  <c r="B13" i="1" s="1"/>
  <c r="I13" i="1" s="1"/>
  <c r="B14" i="1" a="1"/>
  <c r="B14" i="1" s="1"/>
  <c r="I14" i="1" s="1"/>
  <c r="B18" i="1" a="1"/>
  <c r="B18" i="1" s="1"/>
  <c r="I18" i="1" s="1"/>
  <c r="B19" i="1" a="1"/>
  <c r="B19" i="1" s="1"/>
  <c r="I19" i="1" s="1"/>
  <c r="B21" i="1" a="1"/>
  <c r="B21" i="1" s="1"/>
  <c r="I21" i="1" s="1"/>
  <c r="B22" i="1" a="1"/>
  <c r="B22" i="1" s="1"/>
  <c r="I22" i="1" s="1"/>
  <c r="B23" i="1" a="1"/>
  <c r="B23" i="1" s="1"/>
  <c r="I23" i="1" s="1"/>
  <c r="B24" i="1" a="1"/>
  <c r="B24" i="1" s="1"/>
  <c r="I24" i="1" s="1"/>
  <c r="B25" i="1" a="1"/>
  <c r="B25" i="1" s="1"/>
  <c r="I25" i="1" s="1"/>
  <c r="B26" i="1" a="1"/>
  <c r="B26" i="1" s="1"/>
  <c r="I26" i="1" s="1"/>
  <c r="B27" i="1" a="1"/>
  <c r="B27" i="1" s="1"/>
  <c r="I27" i="1" s="1"/>
  <c r="B28" i="1" a="1"/>
  <c r="B28" i="1" s="1"/>
  <c r="I28" i="1" s="1"/>
  <c r="B29" i="1" a="1"/>
  <c r="B29" i="1" s="1"/>
  <c r="I29" i="1" s="1"/>
  <c r="B30" i="1" a="1"/>
  <c r="B30" i="1" s="1"/>
  <c r="I30" i="1" s="1"/>
  <c r="B31" i="1" a="1"/>
  <c r="B31" i="1" s="1"/>
  <c r="I31" i="1" s="1"/>
  <c r="B32" i="1" a="1"/>
  <c r="B32" i="1" s="1"/>
  <c r="I32" i="1" s="1"/>
  <c r="B33" i="1" a="1"/>
  <c r="B33" i="1" s="1"/>
  <c r="I33" i="1" s="1"/>
  <c r="B34" i="1" a="1"/>
  <c r="B34" i="1" s="1"/>
  <c r="I34" i="1" s="1"/>
  <c r="B35" i="1" a="1"/>
  <c r="B35" i="1" s="1"/>
  <c r="I35" i="1" s="1"/>
  <c r="B36" i="1" a="1"/>
  <c r="B36" i="1" s="1"/>
  <c r="I36" i="1" s="1"/>
  <c r="B37" i="1" a="1"/>
  <c r="B37" i="1" s="1"/>
  <c r="I37" i="1" s="1"/>
  <c r="B38" i="1" a="1"/>
  <c r="B38" i="1" s="1"/>
  <c r="I38" i="1" s="1"/>
  <c r="B39" i="1" a="1"/>
  <c r="B39" i="1" s="1"/>
  <c r="I39" i="1" s="1"/>
  <c r="B40" i="1" a="1"/>
  <c r="B40" i="1" s="1"/>
  <c r="I40" i="1" s="1"/>
  <c r="B41" i="1" a="1"/>
  <c r="B41" i="1" s="1"/>
  <c r="I41" i="1" s="1"/>
  <c r="B42" i="1" a="1"/>
  <c r="B42" i="1" s="1"/>
  <c r="I42" i="1" s="1"/>
  <c r="B43" i="1" a="1"/>
  <c r="B43" i="1" s="1"/>
  <c r="I43" i="1" s="1"/>
  <c r="B44" i="1" a="1"/>
  <c r="B44" i="1" s="1"/>
  <c r="I44" i="1" s="1"/>
  <c r="B45" i="1" a="1"/>
  <c r="B45" i="1" s="1"/>
  <c r="I45" i="1" s="1"/>
  <c r="B46" i="1" a="1"/>
  <c r="B46" i="1" s="1"/>
  <c r="I46" i="1" s="1"/>
  <c r="B47" i="1" a="1"/>
  <c r="B47" i="1" s="1"/>
  <c r="I47" i="1" s="1"/>
  <c r="B48" i="1" a="1"/>
  <c r="B48" i="1" s="1"/>
  <c r="I48" i="1" s="1"/>
  <c r="B49" i="1" a="1"/>
  <c r="B49" i="1" s="1"/>
  <c r="I49" i="1" s="1"/>
  <c r="B50" i="1" a="1"/>
  <c r="B50" i="1" s="1"/>
  <c r="I50" i="1" s="1"/>
  <c r="B51" i="1" a="1"/>
  <c r="B51" i="1" s="1"/>
  <c r="I51" i="1" s="1"/>
  <c r="B52" i="1" a="1"/>
  <c r="B52" i="1" s="1"/>
  <c r="I52" i="1" s="1"/>
  <c r="B53" i="1" a="1"/>
  <c r="B53" i="1" s="1"/>
  <c r="I53" i="1" s="1"/>
  <c r="B54" i="1" a="1"/>
  <c r="B54" i="1" s="1"/>
  <c r="I54" i="1" s="1"/>
  <c r="D69" i="2" l="1"/>
  <c r="D65" i="2"/>
  <c r="D62" i="2"/>
  <c r="C64" i="2"/>
  <c r="D66" i="2"/>
  <c r="C67" i="2"/>
  <c r="C63" i="2"/>
  <c r="C59" i="2"/>
  <c r="D61" i="2"/>
  <c r="C66" i="2"/>
  <c r="C68" i="2"/>
  <c r="C62" i="2"/>
  <c r="C69" i="2"/>
  <c r="C61" i="2"/>
  <c r="D67" i="2"/>
  <c r="D64" i="2"/>
  <c r="D63" i="2"/>
  <c r="C65" i="2"/>
  <c r="D68" i="2"/>
  <c r="D60" i="2"/>
  <c r="C60" i="2"/>
  <c r="D5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<sst xmlns="http://schemas.openxmlformats.org/spreadsheetml/2006/main" count="508" uniqueCount="190">
  <si>
    <t/>
  </si>
  <si>
    <t>TOP 5 MF1</t>
  </si>
  <si>
    <t>TOP 10 MF1</t>
  </si>
  <si>
    <t>TOP 15 MF1</t>
  </si>
  <si>
    <t>TOP 20 MF1</t>
  </si>
  <si>
    <t>TOP 30 MF1</t>
  </si>
  <si>
    <t>Quintil 1 MF1</t>
  </si>
  <si>
    <t>Quintil 2 MF1</t>
  </si>
  <si>
    <t>Quintil 3 MF1</t>
  </si>
  <si>
    <t>Quintil 4 MF1</t>
  </si>
  <si>
    <t>Quintil 5 MF1</t>
  </si>
  <si>
    <t>TOP 5 MF2</t>
  </si>
  <si>
    <t>TOP 10 MF2</t>
  </si>
  <si>
    <t>TOP 15 MF2</t>
  </si>
  <si>
    <t>TOP 20 MF2</t>
  </si>
  <si>
    <t>TOP 30 MF2</t>
  </si>
  <si>
    <t>Quintil 1 MF2</t>
  </si>
  <si>
    <t>Quintil 2 MF2</t>
  </si>
  <si>
    <t>Quintil 3 MF2</t>
  </si>
  <si>
    <t>Quintil 4 MF2</t>
  </si>
  <si>
    <t>Quintil 5 MF2</t>
  </si>
  <si>
    <t>TOP 5 MF3</t>
  </si>
  <si>
    <t>TOP 10 MF3</t>
  </si>
  <si>
    <t>TOP 15 MF3</t>
  </si>
  <si>
    <t>TOP 20 MF3</t>
  </si>
  <si>
    <t>TOP 30 MF3</t>
  </si>
  <si>
    <t>Quintil 1 MF3</t>
  </si>
  <si>
    <t>Quintil 2 MF3</t>
  </si>
  <si>
    <t>Quintil 3 MF3</t>
  </si>
  <si>
    <t>Quintil 4 MF3</t>
  </si>
  <si>
    <t>Quintil 5 MF3</t>
  </si>
  <si>
    <t>TOP 5 MF4</t>
  </si>
  <si>
    <t>TOP 10 MF4</t>
  </si>
  <si>
    <t>TOP 15 MF4</t>
  </si>
  <si>
    <t>TOP 20 MF4</t>
  </si>
  <si>
    <t>TOP 30 MF4</t>
  </si>
  <si>
    <t>Quintil 1 MF4</t>
  </si>
  <si>
    <t>Quintil 2 MF4</t>
  </si>
  <si>
    <t>Quintil 3 MF4</t>
  </si>
  <si>
    <t>Quintil 4 MF4</t>
  </si>
  <si>
    <t>Quintil 5 MF4</t>
  </si>
  <si>
    <t>TOP 5 MF5</t>
  </si>
  <si>
    <t>TOP 10 MF5</t>
  </si>
  <si>
    <t>TOP 15 MF5</t>
  </si>
  <si>
    <t>TOP 20 MF5</t>
  </si>
  <si>
    <t>TOP 30 MF5</t>
  </si>
  <si>
    <t>Quintil 1 MF5</t>
  </si>
  <si>
    <t>Quintil 2 MF5</t>
  </si>
  <si>
    <t>Quintil 3 MF5</t>
  </si>
  <si>
    <t>Quintil 4 MF5</t>
  </si>
  <si>
    <t>Quintil 5 MF5</t>
  </si>
  <si>
    <t>IBOVESPA</t>
  </si>
  <si>
    <t>CDI</t>
  </si>
  <si>
    <t>Quintil 5 MF11</t>
  </si>
  <si>
    <t>TOP 5 MF6</t>
  </si>
  <si>
    <t>TOP 10 MF6</t>
  </si>
  <si>
    <t>TOP 15 MF6</t>
  </si>
  <si>
    <t>TOP 20 MF7</t>
  </si>
  <si>
    <t>TOP 20 MF6</t>
  </si>
  <si>
    <t>TOP 30 MF6</t>
  </si>
  <si>
    <t>Quintil 1 MF6</t>
  </si>
  <si>
    <t>Quintil 2 MF6</t>
  </si>
  <si>
    <t>Quintil 3 MF6</t>
  </si>
  <si>
    <t>Quintil 4 MF6</t>
  </si>
  <si>
    <t>Quintil 5 MF6</t>
  </si>
  <si>
    <t>TOP 5 MF7</t>
  </si>
  <si>
    <t>TOP 10 MF7</t>
  </si>
  <si>
    <t>TOP 15 MF7</t>
  </si>
  <si>
    <t>TOP 30 MF7</t>
  </si>
  <si>
    <t>Quintil 1 MF7</t>
  </si>
  <si>
    <t>Quintil 2 MF7</t>
  </si>
  <si>
    <t>Quintil 3 MF7</t>
  </si>
  <si>
    <t>Quintil 4 MF7</t>
  </si>
  <si>
    <t>Quintil 5 MF7</t>
  </si>
  <si>
    <t>TOP 5 MF8</t>
  </si>
  <si>
    <t>TOP 10 MF8</t>
  </si>
  <si>
    <t>TOP 15 MF8</t>
  </si>
  <si>
    <t>TOP 20 MF8</t>
  </si>
  <si>
    <t>TOP 30 MF8</t>
  </si>
  <si>
    <t>Quintil 1 MF8</t>
  </si>
  <si>
    <t>Quintil 2 MF8</t>
  </si>
  <si>
    <t>Quintil 3 MF8</t>
  </si>
  <si>
    <t>Quintil 4 MF8</t>
  </si>
  <si>
    <t>Quintil 5 MF8</t>
  </si>
  <si>
    <t>TOP 5 MF9</t>
  </si>
  <si>
    <t>TOP 10 MF9</t>
  </si>
  <si>
    <t>TOP 15 MF9</t>
  </si>
  <si>
    <t>TOP 20 MF9</t>
  </si>
  <si>
    <t>TOP 30 MF9</t>
  </si>
  <si>
    <t>Quintil 1 MF9</t>
  </si>
  <si>
    <t>Quintil 2 MF9</t>
  </si>
  <si>
    <t>Quintil 3 MF9</t>
  </si>
  <si>
    <t>Quintil 4 MF9</t>
  </si>
  <si>
    <t>Quintil 5 MF9</t>
  </si>
  <si>
    <t>TOP 5 MF10</t>
  </si>
  <si>
    <t>TOP 10 MF10</t>
  </si>
  <si>
    <t>TOP 15 MF10</t>
  </si>
  <si>
    <t>TOP 20 MF10</t>
  </si>
  <si>
    <t>TOP 30 MF10</t>
  </si>
  <si>
    <t>Quintil 1 MF10</t>
  </si>
  <si>
    <t>Quintil 2 MF10</t>
  </si>
  <si>
    <t>Quintil 3 MF10</t>
  </si>
  <si>
    <t>Quintil 4 MF10</t>
  </si>
  <si>
    <t>Quintil 5 MF10</t>
  </si>
  <si>
    <t>TOP 5 MF11</t>
  </si>
  <si>
    <t>TOP 10 MF11</t>
  </si>
  <si>
    <t>TOP 15 MF11</t>
  </si>
  <si>
    <t>TOP 20 MF11</t>
  </si>
  <si>
    <t>TOP 30 MF11</t>
  </si>
  <si>
    <t>Quintil 1 MF11</t>
  </si>
  <si>
    <t>Quintil 2 MF11</t>
  </si>
  <si>
    <t>Quintil 3 MF11</t>
  </si>
  <si>
    <t>Quintil 4 MF11</t>
  </si>
  <si>
    <t>pontuação final</t>
  </si>
  <si>
    <t>sharpe médio</t>
  </si>
  <si>
    <t>top todas</t>
  </si>
  <si>
    <t>top 3 melhores</t>
  </si>
  <si>
    <t>r1</t>
  </si>
  <si>
    <t>r2</t>
  </si>
  <si>
    <t>rf</t>
  </si>
  <si>
    <t>CAGR (96-24)</t>
  </si>
  <si>
    <t>CAGR (98-24)</t>
  </si>
  <si>
    <t>CAGR (00-24)</t>
  </si>
  <si>
    <t>CAGR (10-24)</t>
  </si>
  <si>
    <t>CAGR (20-24)</t>
  </si>
  <si>
    <t>TOP 30 MF4 + Markowitz</t>
  </si>
  <si>
    <t>TOP 30 MF10 + Markowitz</t>
  </si>
  <si>
    <t>IBRX-100</t>
  </si>
  <si>
    <t>DESV PAD (98-24)</t>
  </si>
  <si>
    <t>SHARPE (98 - 24)</t>
  </si>
  <si>
    <t>SHARPE (96 - 24)</t>
  </si>
  <si>
    <t>DESV PAD (96 - 24)</t>
  </si>
  <si>
    <t>Quintil 1</t>
  </si>
  <si>
    <t>Quintil 2</t>
  </si>
  <si>
    <t>Quintil 3</t>
  </si>
  <si>
    <t>Quintil 4</t>
  </si>
  <si>
    <t>Quintil 5</t>
  </si>
  <si>
    <t>Classificação final</t>
  </si>
  <si>
    <t>CARTEIRA</t>
  </si>
  <si>
    <t>100% CDI</t>
  </si>
  <si>
    <t>100% IBOV</t>
  </si>
  <si>
    <t>100% IBRX-100</t>
  </si>
  <si>
    <t>TOP 5</t>
  </si>
  <si>
    <t>TOP 10</t>
  </si>
  <si>
    <t>TOP 15</t>
  </si>
  <si>
    <t>TOP 20</t>
  </si>
  <si>
    <t>TOP 30</t>
  </si>
  <si>
    <t>QUINTIL 1</t>
  </si>
  <si>
    <t>QUINTIL 2</t>
  </si>
  <si>
    <t>QUINTIL 3</t>
  </si>
  <si>
    <t>QUINTIL 4</t>
  </si>
  <si>
    <t>QUINTIL 5</t>
  </si>
  <si>
    <t>QUADRO ESTATÍSTICO MF 1</t>
  </si>
  <si>
    <t>QUADRO ESTATÍSTICO MF 11</t>
  </si>
  <si>
    <t>QUADRO ESTATÍSTICO MF 10</t>
  </si>
  <si>
    <t>QUADRO ESTATÍSTICO MF 9</t>
  </si>
  <si>
    <t>QUADRO ESTATÍSTICO MF 8</t>
  </si>
  <si>
    <t>QUADRO ESTATÍSTICO MF 7</t>
  </si>
  <si>
    <t>QUADRO ESTATÍSTICO MF 6</t>
  </si>
  <si>
    <t>QUADRO ESTATÍSTICO MF 5</t>
  </si>
  <si>
    <t>QUADRO ESTATÍSTICO MF 4</t>
  </si>
  <si>
    <t>QUADRO ESTATÍSTICO MF 3</t>
  </si>
  <si>
    <t>Ranking Sharpe (96-24)</t>
  </si>
  <si>
    <t>MF 1</t>
  </si>
  <si>
    <t>MF 2</t>
  </si>
  <si>
    <t>MF 3</t>
  </si>
  <si>
    <t>MF 4</t>
  </si>
  <si>
    <t>MF 5</t>
  </si>
  <si>
    <t>MF 6</t>
  </si>
  <si>
    <t>MF 7</t>
  </si>
  <si>
    <t>MF 8</t>
  </si>
  <si>
    <t>MF 9</t>
  </si>
  <si>
    <t>MF 10</t>
  </si>
  <si>
    <t>MF 11</t>
  </si>
  <si>
    <t>Ordenamento Sharpe (96-24) do quintil 1</t>
  </si>
  <si>
    <t>SHARPE (98-24)</t>
  </si>
  <si>
    <t>MF 12</t>
  </si>
  <si>
    <t>MF 13</t>
  </si>
  <si>
    <t>MF 14</t>
  </si>
  <si>
    <t>TOP 30 MF2 + Markowitz</t>
  </si>
  <si>
    <t>QUADRO ESTATÍSTICO CARTEIRAS OTIMIZADAS (TOP 30)</t>
  </si>
  <si>
    <t>QUADRO ESTATÍSTICO MF 2</t>
  </si>
  <si>
    <t>anos negativos</t>
  </si>
  <si>
    <t>Anos abaixo do IBOV</t>
  </si>
  <si>
    <t>Anos negativos</t>
  </si>
  <si>
    <t>%</t>
  </si>
  <si>
    <t>IBOV</t>
  </si>
  <si>
    <t>de 28</t>
  </si>
  <si>
    <t>de 26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</si>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</sst>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%"/>
    <numFmt numFmtId="165" formatCode="0.0000"/>
  </numFmts>
  <fonts count="5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0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0" fontId="0" fillId="0" borderId="1" xfId="1" applyNumberFormat="1" applyFont="1" applyFill="1" applyBorder="1" applyAlignment="1">
      <alignment horizontal="center"/>
    </xf>
    <xf numFmtId="10" fontId="0" fillId="0" borderId="2" xfId="1" applyNumberFormat="1" applyFont="1" applyFill="1" applyBorder="1" applyAlignment="1">
      <alignment horizontal="center"/>
    </xf>
    <xf numFmtId="10" fontId="0" fillId="0" borderId="3" xfId="1" applyNumberFormat="1" applyFont="1" applyFill="1" applyBorder="1" applyAlignment="1">
      <alignment horizontal="center"/>
    </xf>
    <xf numFmtId="10" fontId="0" fillId="0" borderId="4" xfId="1" applyNumberFormat="1" applyFont="1" applyFill="1" applyBorder="1" applyAlignment="1">
      <alignment horizontal="center"/>
    </xf>
    <xf numFmtId="10" fontId="0" fillId="0" borderId="5" xfId="1" applyNumberFormat="1" applyFont="1" applyFill="1" applyBorder="1" applyAlignment="1">
      <alignment horizontal="center"/>
    </xf>
    <xf numFmtId="10" fontId="0" fillId="0" borderId="6" xfId="1" applyNumberFormat="1" applyFont="1" applyFill="1" applyBorder="1" applyAlignment="1">
      <alignment horizontal="center"/>
    </xf>
    <xf numFmtId="10" fontId="0" fillId="0" borderId="11" xfId="1" applyNumberFormat="1" applyFont="1" applyFill="1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10" fontId="0" fillId="0" borderId="12" xfId="1" applyNumberFormat="1" applyFont="1" applyFill="1" applyBorder="1" applyAlignment="1">
      <alignment horizontal="center"/>
    </xf>
    <xf numFmtId="164" fontId="3" fillId="2" borderId="14" xfId="1" applyNumberFormat="1" applyFont="1" applyFill="1" applyBorder="1" applyAlignment="1">
      <alignment horizontal="center"/>
    </xf>
    <xf numFmtId="164" fontId="3" fillId="2" borderId="15" xfId="1" applyNumberFormat="1" applyFont="1" applyFill="1" applyBorder="1" applyAlignment="1">
      <alignment horizontal="center"/>
    </xf>
    <xf numFmtId="10" fontId="0" fillId="0" borderId="11" xfId="1" applyNumberFormat="1" applyFont="1" applyBorder="1" applyAlignment="1">
      <alignment horizontal="center"/>
    </xf>
    <xf numFmtId="10" fontId="0" fillId="0" borderId="2" xfId="1" applyNumberFormat="1" applyFont="1" applyBorder="1" applyAlignment="1">
      <alignment horizontal="center"/>
    </xf>
    <xf numFmtId="10" fontId="0" fillId="0" borderId="3" xfId="1" applyNumberFormat="1" applyFont="1" applyBorder="1" applyAlignment="1">
      <alignment horizontal="center"/>
    </xf>
    <xf numFmtId="10" fontId="0" fillId="0" borderId="13" xfId="1" applyNumberFormat="1" applyFont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10" fontId="0" fillId="0" borderId="4" xfId="1" applyNumberFormat="1" applyFont="1" applyBorder="1" applyAlignment="1">
      <alignment horizontal="center"/>
    </xf>
    <xf numFmtId="10" fontId="0" fillId="0" borderId="12" xfId="1" applyNumberFormat="1" applyFont="1" applyBorder="1" applyAlignment="1">
      <alignment horizontal="center"/>
    </xf>
    <xf numFmtId="10" fontId="0" fillId="0" borderId="5" xfId="1" applyNumberFormat="1" applyFont="1" applyBorder="1" applyAlignment="1">
      <alignment horizontal="center"/>
    </xf>
    <xf numFmtId="10" fontId="0" fillId="0" borderId="6" xfId="1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64" fontId="3" fillId="2" borderId="8" xfId="1" applyNumberFormat="1" applyFont="1" applyFill="1" applyBorder="1" applyAlignment="1">
      <alignment horizontal="center"/>
    </xf>
    <xf numFmtId="164" fontId="0" fillId="0" borderId="8" xfId="1" applyNumberFormat="1" applyFont="1" applyFill="1" applyBorder="1" applyAlignment="1">
      <alignment horizontal="center"/>
    </xf>
    <xf numFmtId="164" fontId="3" fillId="2" borderId="10" xfId="1" applyNumberFormat="1" applyFont="1" applyFill="1" applyBorder="1" applyAlignment="1">
      <alignment horizontal="center"/>
    </xf>
    <xf numFmtId="164" fontId="0" fillId="0" borderId="10" xfId="1" applyNumberFormat="1" applyFont="1" applyFill="1" applyBorder="1" applyAlignment="1">
      <alignment horizontal="center"/>
    </xf>
    <xf numFmtId="164" fontId="0" fillId="0" borderId="9" xfId="1" applyNumberFormat="1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10" fontId="0" fillId="0" borderId="20" xfId="1" applyNumberFormat="1" applyFon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164" fontId="3" fillId="2" borderId="19" xfId="1" applyNumberFormat="1" applyFont="1" applyFill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10" fontId="0" fillId="0" borderId="20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165" fontId="0" fillId="0" borderId="24" xfId="0" applyNumberFormat="1" applyBorder="1" applyAlignment="1">
      <alignment horizontal="center"/>
    </xf>
    <xf numFmtId="165" fontId="0" fillId="0" borderId="27" xfId="0" applyNumberFormat="1" applyBorder="1" applyAlignment="1">
      <alignment horizontal="center"/>
    </xf>
    <xf numFmtId="165" fontId="3" fillId="2" borderId="27" xfId="0" applyNumberFormat="1" applyFont="1" applyFill="1" applyBorder="1" applyAlignment="1">
      <alignment horizontal="center"/>
    </xf>
    <xf numFmtId="165" fontId="0" fillId="0" borderId="26" xfId="0" applyNumberFormat="1" applyBorder="1" applyAlignment="1">
      <alignment horizontal="center"/>
    </xf>
    <xf numFmtId="165" fontId="3" fillId="2" borderId="24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28" xfId="0" applyFont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2" xfId="0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3" fillId="0" borderId="40" xfId="0" applyFont="1" applyBorder="1" applyAlignment="1">
      <alignment horizontal="center"/>
    </xf>
    <xf numFmtId="164" fontId="0" fillId="0" borderId="40" xfId="1" applyNumberFormat="1" applyFont="1" applyFill="1" applyBorder="1" applyAlignment="1">
      <alignment horizontal="center"/>
    </xf>
    <xf numFmtId="165" fontId="0" fillId="0" borderId="41" xfId="0" applyNumberFormat="1" applyBorder="1" applyAlignment="1">
      <alignment horizontal="center"/>
    </xf>
    <xf numFmtId="10" fontId="0" fillId="0" borderId="42" xfId="1" applyNumberFormat="1" applyFont="1" applyBorder="1" applyAlignment="1">
      <alignment horizontal="center"/>
    </xf>
    <xf numFmtId="10" fontId="0" fillId="0" borderId="33" xfId="1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164" fontId="0" fillId="3" borderId="14" xfId="1" applyNumberFormat="1" applyFont="1" applyFill="1" applyBorder="1" applyAlignment="1">
      <alignment horizontal="center"/>
    </xf>
    <xf numFmtId="164" fontId="3" fillId="2" borderId="31" xfId="1" applyNumberFormat="1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3" borderId="28" xfId="1" applyNumberFormat="1" applyFont="1" applyFill="1" applyBorder="1" applyAlignment="1">
      <alignment horizontal="center"/>
    </xf>
    <xf numFmtId="164" fontId="0" fillId="3" borderId="15" xfId="1" applyNumberFormat="1" applyFont="1" applyFill="1" applyBorder="1" applyAlignment="1">
      <alignment horizontal="center"/>
    </xf>
    <xf numFmtId="164" fontId="3" fillId="2" borderId="28" xfId="1" applyNumberFormat="1" applyFont="1" applyFill="1" applyBorder="1" applyAlignment="1">
      <alignment horizontal="center"/>
    </xf>
    <xf numFmtId="10" fontId="0" fillId="0" borderId="41" xfId="1" applyNumberFormat="1" applyFont="1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164" fontId="3" fillId="2" borderId="38" xfId="1" applyNumberFormat="1" applyFont="1" applyFill="1" applyBorder="1" applyAlignment="1">
      <alignment horizontal="center"/>
    </xf>
    <xf numFmtId="0" fontId="3" fillId="2" borderId="45" xfId="0" applyFont="1" applyFill="1" applyBorder="1" applyAlignment="1">
      <alignment horizontal="center"/>
    </xf>
    <xf numFmtId="164" fontId="3" fillId="2" borderId="29" xfId="1" applyNumberFormat="1" applyFont="1" applyFill="1" applyBorder="1" applyAlignment="1">
      <alignment horizontal="center"/>
    </xf>
    <xf numFmtId="164" fontId="3" fillId="2" borderId="46" xfId="1" applyNumberFormat="1" applyFont="1" applyFill="1" applyBorder="1" applyAlignment="1">
      <alignment horizontal="center"/>
    </xf>
    <xf numFmtId="10" fontId="2" fillId="2" borderId="47" xfId="1" applyNumberFormat="1" applyFont="1" applyFill="1" applyBorder="1" applyAlignment="1">
      <alignment horizontal="center" vertical="center"/>
    </xf>
    <xf numFmtId="10" fontId="2" fillId="2" borderId="36" xfId="1" applyNumberFormat="1" applyFont="1" applyFill="1" applyBorder="1" applyAlignment="1">
      <alignment horizontal="center" vertical="center"/>
    </xf>
    <xf numFmtId="10" fontId="2" fillId="2" borderId="37" xfId="1" applyNumberFormat="1" applyFont="1" applyFill="1" applyBorder="1" applyAlignment="1">
      <alignment horizontal="center" vertical="center"/>
    </xf>
    <xf numFmtId="164" fontId="0" fillId="3" borderId="31" xfId="1" applyNumberFormat="1" applyFont="1" applyFill="1" applyBorder="1" applyAlignment="1">
      <alignment horizontal="center"/>
    </xf>
    <xf numFmtId="164" fontId="3" fillId="2" borderId="9" xfId="1" applyNumberFormat="1" applyFont="1" applyFill="1" applyBorder="1" applyAlignment="1">
      <alignment horizontal="center"/>
    </xf>
    <xf numFmtId="165" fontId="3" fillId="2" borderId="26" xfId="0" applyNumberFormat="1" applyFont="1" applyFill="1" applyBorder="1" applyAlignment="1">
      <alignment horizontal="center"/>
    </xf>
    <xf numFmtId="165" fontId="3" fillId="2" borderId="41" xfId="0" applyNumberFormat="1" applyFont="1" applyFill="1" applyBorder="1" applyAlignment="1">
      <alignment horizontal="center"/>
    </xf>
    <xf numFmtId="10" fontId="0" fillId="0" borderId="42" xfId="1" applyNumberFormat="1" applyFont="1" applyFill="1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64" fontId="0" fillId="0" borderId="19" xfId="1" applyNumberFormat="1" applyFont="1" applyFill="1" applyBorder="1" applyAlignment="1">
      <alignment horizontal="center"/>
    </xf>
    <xf numFmtId="164" fontId="0" fillId="3" borderId="38" xfId="1" applyNumberFormat="1" applyFont="1" applyFill="1" applyBorder="1" applyAlignment="1">
      <alignment horizontal="center"/>
    </xf>
    <xf numFmtId="165" fontId="0" fillId="0" borderId="48" xfId="0" applyNumberFormat="1" applyBorder="1" applyAlignment="1">
      <alignment horizontal="center"/>
    </xf>
    <xf numFmtId="165" fontId="3" fillId="2" borderId="48" xfId="0" applyNumberFormat="1" applyFont="1" applyFill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0" fontId="2" fillId="2" borderId="17" xfId="1" applyNumberFormat="1" applyFont="1" applyFill="1" applyBorder="1" applyAlignment="1">
      <alignment horizontal="center" vertical="center"/>
    </xf>
    <xf numFmtId="10" fontId="2" fillId="2" borderId="18" xfId="1" applyNumberFormat="1" applyFont="1" applyFill="1" applyBorder="1" applyAlignment="1">
      <alignment horizontal="center" vertical="center"/>
    </xf>
    <xf numFmtId="10" fontId="2" fillId="2" borderId="7" xfId="1" applyNumberFormat="1" applyFont="1" applyFill="1" applyBorder="1" applyAlignment="1">
      <alignment horizontal="center" vertical="center"/>
    </xf>
    <xf numFmtId="165" fontId="3" fillId="2" borderId="29" xfId="1" applyNumberFormat="1" applyFont="1" applyFill="1" applyBorder="1" applyAlignment="1">
      <alignment horizontal="center"/>
    </xf>
    <xf numFmtId="165" fontId="3" fillId="2" borderId="46" xfId="1" applyNumberFormat="1" applyFont="1" applyFill="1" applyBorder="1" applyAlignment="1">
      <alignment horizontal="center"/>
    </xf>
    <xf numFmtId="165" fontId="3" fillId="2" borderId="23" xfId="1" applyNumberFormat="1" applyFont="1" applyFill="1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46" xfId="0" applyBorder="1" applyAlignment="1">
      <alignment horizontal="center"/>
    </xf>
    <xf numFmtId="165" fontId="0" fillId="0" borderId="53" xfId="0" applyNumberFormat="1" applyBorder="1" applyAlignment="1">
      <alignment horizontal="center"/>
    </xf>
    <xf numFmtId="165" fontId="0" fillId="0" borderId="51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10" fontId="0" fillId="0" borderId="55" xfId="1" applyNumberFormat="1" applyFont="1" applyBorder="1" applyAlignment="1">
      <alignment horizontal="center"/>
    </xf>
    <xf numFmtId="10" fontId="0" fillId="0" borderId="56" xfId="1" applyNumberFormat="1" applyFont="1" applyBorder="1" applyAlignment="1">
      <alignment horizontal="center"/>
    </xf>
    <xf numFmtId="165" fontId="0" fillId="0" borderId="55" xfId="0" applyNumberFormat="1" applyBorder="1" applyAlignment="1">
      <alignment horizontal="center"/>
    </xf>
    <xf numFmtId="10" fontId="0" fillId="0" borderId="52" xfId="1" applyNumberFormat="1" applyFont="1" applyBorder="1" applyAlignment="1">
      <alignment horizontal="center"/>
    </xf>
    <xf numFmtId="10" fontId="0" fillId="0" borderId="50" xfId="1" applyNumberFormat="1" applyFont="1" applyBorder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65" fontId="0" fillId="0" borderId="23" xfId="0" applyNumberFormat="1" applyBorder="1" applyAlignment="1">
      <alignment horizontal="center"/>
    </xf>
    <xf numFmtId="10" fontId="0" fillId="0" borderId="25" xfId="1" applyNumberFormat="1" applyFont="1" applyBorder="1" applyAlignment="1">
      <alignment horizontal="center"/>
    </xf>
    <xf numFmtId="0" fontId="3" fillId="0" borderId="57" xfId="0" applyFont="1" applyBorder="1" applyAlignment="1">
      <alignment horizontal="center"/>
    </xf>
    <xf numFmtId="0" fontId="3" fillId="2" borderId="3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0" xfId="0" applyFont="1"/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10" fontId="0" fillId="0" borderId="53" xfId="1" applyNumberFormat="1" applyFont="1" applyBorder="1" applyAlignment="1">
      <alignment horizontal="center"/>
    </xf>
    <xf numFmtId="10" fontId="0" fillId="0" borderId="51" xfId="1" applyNumberFormat="1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46" xfId="0" applyFont="1" applyBorder="1" applyAlignment="1">
      <alignment horizontal="center"/>
    </xf>
    <xf numFmtId="10" fontId="3" fillId="0" borderId="55" xfId="1" applyNumberFormat="1" applyFont="1" applyBorder="1" applyAlignment="1">
      <alignment horizontal="center"/>
    </xf>
    <xf numFmtId="10" fontId="3" fillId="0" borderId="51" xfId="1" applyNumberFormat="1" applyFont="1" applyBorder="1" applyAlignment="1">
      <alignment horizontal="center"/>
    </xf>
    <xf numFmtId="165" fontId="3" fillId="0" borderId="53" xfId="0" applyNumberFormat="1" applyFont="1" applyBorder="1" applyAlignment="1">
      <alignment horizontal="center"/>
    </xf>
    <xf numFmtId="10" fontId="3" fillId="0" borderId="53" xfId="1" applyNumberFormat="1" applyFont="1" applyBorder="1" applyAlignment="1">
      <alignment horizontal="center"/>
    </xf>
    <xf numFmtId="165" fontId="3" fillId="0" borderId="51" xfId="0" applyNumberFormat="1" applyFont="1" applyBorder="1" applyAlignment="1">
      <alignment horizontal="center"/>
    </xf>
    <xf numFmtId="10" fontId="3" fillId="0" borderId="52" xfId="1" applyNumberFormat="1" applyFont="1" applyBorder="1" applyAlignment="1">
      <alignment horizontal="center"/>
    </xf>
    <xf numFmtId="10" fontId="3" fillId="0" borderId="56" xfId="1" applyNumberFormat="1" applyFont="1" applyBorder="1" applyAlignment="1">
      <alignment horizontal="center"/>
    </xf>
    <xf numFmtId="0" fontId="3" fillId="0" borderId="50" xfId="0" applyFont="1" applyBorder="1" applyAlignment="1">
      <alignment horizontal="center"/>
    </xf>
    <xf numFmtId="0" fontId="3" fillId="0" borderId="51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3" fillId="0" borderId="49" xfId="0" applyFont="1" applyBorder="1" applyAlignment="1">
      <alignment horizontal="center"/>
    </xf>
    <xf numFmtId="10" fontId="3" fillId="0" borderId="50" xfId="1" applyNumberFormat="1" applyFont="1" applyBorder="1" applyAlignment="1">
      <alignment horizontal="center"/>
    </xf>
    <xf numFmtId="0" fontId="3" fillId="0" borderId="55" xfId="0" applyFont="1" applyBorder="1" applyAlignment="1">
      <alignment horizontal="center"/>
    </xf>
    <xf numFmtId="0" fontId="3" fillId="0" borderId="56" xfId="0" applyFon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58" xfId="0" applyNumberFormat="1" applyBorder="1" applyAlignment="1">
      <alignment horizontal="center"/>
    </xf>
    <xf numFmtId="165" fontId="0" fillId="0" borderId="59" xfId="0" applyNumberFormat="1" applyBorder="1" applyAlignment="1">
      <alignment horizontal="center"/>
    </xf>
    <xf numFmtId="165" fontId="0" fillId="0" borderId="60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28" xfId="0" applyNumberFormat="1" applyBorder="1" applyAlignment="1">
      <alignment horizontal="center"/>
    </xf>
    <xf numFmtId="165" fontId="0" fillId="0" borderId="15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10" fontId="2" fillId="0" borderId="1" xfId="1" applyNumberFormat="1" applyFont="1" applyFill="1" applyBorder="1" applyAlignment="1">
      <alignment horizontal="center" vertical="center"/>
    </xf>
    <xf numFmtId="10" fontId="4" fillId="0" borderId="1" xfId="1" applyNumberFormat="1" applyFont="1" applyFill="1" applyBorder="1" applyAlignment="1">
      <alignment horizontal="center" vertical="center"/>
    </xf>
    <xf numFmtId="10" fontId="3" fillId="0" borderId="1" xfId="1" applyNumberFormat="1" applyFont="1" applyFill="1" applyBorder="1" applyAlignment="1">
      <alignment horizontal="center"/>
    </xf>
    <xf numFmtId="164" fontId="1" fillId="0" borderId="1" xfId="1" applyNumberFormat="1" applyFont="1" applyFill="1" applyBorder="1" applyAlignment="1">
      <alignment horizontal="center"/>
    </xf>
    <xf numFmtId="165" fontId="1" fillId="0" borderId="1" xfId="1" applyNumberFormat="1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0" fontId="1" fillId="0" borderId="1" xfId="1" applyNumberFormat="1" applyFont="1" applyFill="1" applyBorder="1" applyAlignment="1">
      <alignment horizontal="center"/>
    </xf>
    <xf numFmtId="0" fontId="0" fillId="0" borderId="1" xfId="0" applyBorder="1"/>
    <xf numFmtId="10" fontId="1" fillId="4" borderId="1" xfId="1" applyNumberFormat="1" applyFont="1" applyFill="1" applyBorder="1" applyAlignment="1">
      <alignment horizontal="center"/>
    </xf>
    <xf numFmtId="0" fontId="0" fillId="4" borderId="1" xfId="0" applyFill="1" applyBorder="1"/>
    <xf numFmtId="10" fontId="4" fillId="4" borderId="1" xfId="1" applyNumberFormat="1" applyFont="1" applyFill="1" applyBorder="1" applyAlignment="1">
      <alignment horizontal="center" vertical="center"/>
    </xf>
    <xf numFmtId="10" fontId="2" fillId="4" borderId="1" xfId="1" applyNumberFormat="1" applyFont="1" applyFill="1" applyBorder="1" applyAlignment="1">
      <alignment horizontal="center" vertical="center"/>
    </xf>
    <xf numFmtId="0" fontId="3" fillId="0" borderId="45" xfId="0" applyFont="1" applyBorder="1" applyAlignment="1">
      <alignment horizontal="center"/>
    </xf>
    <xf numFmtId="0" fontId="3" fillId="0" borderId="46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54" xfId="0" applyFont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6" xfId="0" applyBorder="1" applyAlignment="1">
      <alignment horizontal="center"/>
    </xf>
  </cellXfs>
  <cellStyles count="2">
    <cellStyle name="Normal" xfId="0" builtinId="0"/>
    <cellStyle name="Porcentagem" xfId="1" builtinId="5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M120"/>
  <sheetViews>
    <sheetView workbookViewId="0">
      <pane ySplit="4" topLeftCell="A5" activePane="bottomLeft" state="frozen"/>
      <selection pane="bottomLeft" activeCell="G19" sqref="G19"/>
    </sheetView>
  </sheetViews>
  <sheetFormatPr defaultColWidth="11.5546875" defaultRowHeight="14.4" x14ac:dyDescent="0.3"/>
  <cols>
    <col min="1" max="1" width="23.109375" style="2" bestFit="1" customWidth="1"/>
    <col min="2" max="2" width="12.109375" style="1" bestFit="1" customWidth="1"/>
    <col min="3" max="3" width="12.109375" style="1" customWidth="1"/>
    <col min="4" max="6" width="12.109375" style="1" hidden="1" customWidth="1"/>
    <col min="7" max="7" width="16.88671875" style="1" bestFit="1" customWidth="1"/>
    <col min="8" max="8" width="16" style="1" bestFit="1" customWidth="1"/>
    <col min="9" max="10" width="15.109375" style="1" bestFit="1" customWidth="1"/>
    <col min="11" max="11" width="12" style="1" bestFit="1" customWidth="1"/>
    <col min="12" max="13" width="12.6640625" style="1" bestFit="1" customWidth="1"/>
    <col min="14" max="14" width="12" style="1" bestFit="1" customWidth="1"/>
    <col min="15" max="17" width="12.6640625" style="1" bestFit="1" customWidth="1"/>
    <col min="18" max="21" width="12" style="1" bestFit="1" customWidth="1"/>
    <col min="22" max="23" width="12.6640625" style="1" bestFit="1" customWidth="1"/>
    <col min="24" max="24" width="12" style="1" bestFit="1" customWidth="1"/>
    <col min="25" max="30" width="12.6640625" style="1" bestFit="1" customWidth="1"/>
    <col min="31" max="32" width="12" style="1" bestFit="1" customWidth="1"/>
    <col min="33" max="34" width="12.6640625" style="1" bestFit="1" customWidth="1"/>
    <col min="35" max="35" width="12" style="1" bestFit="1" customWidth="1"/>
    <col min="36" max="37" width="12.6640625" style="1" bestFit="1" customWidth="1"/>
    <col min="38" max="38" width="12" style="1" bestFit="1" customWidth="1"/>
    <col min="39" max="39" width="10.5546875" style="1" bestFit="1" customWidth="1"/>
    <col min="40" max="16384" width="11.5546875" style="1"/>
  </cols>
  <sheetData>
    <row r="1" spans="1:39" ht="15" thickBot="1" x14ac:dyDescent="0.35">
      <c r="A1" s="31" t="s">
        <v>0</v>
      </c>
      <c r="B1" s="44" t="s">
        <v>120</v>
      </c>
      <c r="C1" s="44" t="s">
        <v>121</v>
      </c>
      <c r="D1" s="44" t="s">
        <v>122</v>
      </c>
      <c r="E1" s="44" t="s">
        <v>123</v>
      </c>
      <c r="F1" s="44" t="s">
        <v>124</v>
      </c>
      <c r="G1" s="43" t="s">
        <v>131</v>
      </c>
      <c r="H1" s="43" t="s">
        <v>128</v>
      </c>
      <c r="I1" s="44" t="s">
        <v>130</v>
      </c>
      <c r="J1" s="44" t="s">
        <v>129</v>
      </c>
      <c r="K1" s="32">
        <v>1996</v>
      </c>
      <c r="L1" s="33">
        <v>1997</v>
      </c>
      <c r="M1" s="33">
        <v>1998</v>
      </c>
      <c r="N1" s="33">
        <v>1999</v>
      </c>
      <c r="O1" s="33">
        <v>2000</v>
      </c>
      <c r="P1" s="33">
        <v>2001</v>
      </c>
      <c r="Q1" s="33">
        <v>2002</v>
      </c>
      <c r="R1" s="33">
        <v>2003</v>
      </c>
      <c r="S1" s="33">
        <v>2004</v>
      </c>
      <c r="T1" s="33">
        <v>2005</v>
      </c>
      <c r="U1" s="33">
        <v>2006</v>
      </c>
      <c r="V1" s="33">
        <v>2007</v>
      </c>
      <c r="W1" s="33">
        <v>2008</v>
      </c>
      <c r="X1" s="33">
        <v>2009</v>
      </c>
      <c r="Y1" s="33">
        <v>2010</v>
      </c>
      <c r="Z1" s="33">
        <v>2011</v>
      </c>
      <c r="AA1" s="33">
        <v>2012</v>
      </c>
      <c r="AB1" s="33">
        <v>2013</v>
      </c>
      <c r="AC1" s="33">
        <v>2014</v>
      </c>
      <c r="AD1" s="33">
        <v>2015</v>
      </c>
      <c r="AE1" s="33">
        <v>2016</v>
      </c>
      <c r="AF1" s="33">
        <v>2017</v>
      </c>
      <c r="AG1" s="33">
        <v>2018</v>
      </c>
      <c r="AH1" s="33">
        <v>2019</v>
      </c>
      <c r="AI1" s="33">
        <v>2020</v>
      </c>
      <c r="AJ1" s="33">
        <v>2021</v>
      </c>
      <c r="AK1" s="33">
        <v>2022</v>
      </c>
      <c r="AL1" s="33">
        <v>2023</v>
      </c>
      <c r="AM1" s="34">
        <v>2024</v>
      </c>
    </row>
    <row r="2" spans="1:39" ht="15" thickBot="1" x14ac:dyDescent="0.35">
      <c r="A2" s="87" t="s">
        <v>52</v>
      </c>
      <c r="B2" s="88" cm="1">
        <f t="array" ref="B2">GEOMEAN(1+K2:AM2)-1</f>
        <v>0.13851799580585422</v>
      </c>
      <c r="C2" s="88" cm="1">
        <f t="array" ref="C2">GEOMEAN(1+M2:AM2)-1</f>
        <v>0.13129945916353591</v>
      </c>
      <c r="D2" s="88" cm="1">
        <f t="array" ref="D2">GEOMEAN(1+O2:AM2)-1</f>
        <v>0.1199046925770817</v>
      </c>
      <c r="E2" s="88" cm="1">
        <f t="array" ref="E2">GEOMEAN(1+Y2:AM2)-1</f>
        <v>9.7262894604768446E-2</v>
      </c>
      <c r="F2" s="88" cm="1">
        <f t="array" ref="F2">GEOMEAN(1+AI2:AM2)-1</f>
        <v>0.10469627873629661</v>
      </c>
      <c r="G2" s="109">
        <v>1.7690999999999998E-2</v>
      </c>
      <c r="H2" s="110">
        <v>1.5906E-2</v>
      </c>
      <c r="I2" s="89"/>
      <c r="J2" s="89"/>
      <c r="K2" s="90">
        <v>0.20978181839000001</v>
      </c>
      <c r="L2" s="91">
        <v>0.27219999312999998</v>
      </c>
      <c r="M2" s="91">
        <v>0.39259998322</v>
      </c>
      <c r="N2" s="91">
        <v>0.18370000839</v>
      </c>
      <c r="O2" s="91">
        <v>0.15720000267000001</v>
      </c>
      <c r="P2" s="91">
        <v>0.18549999237000001</v>
      </c>
      <c r="Q2" s="91">
        <v>0.26229999542000004</v>
      </c>
      <c r="R2" s="91">
        <v>0.16020000000000001</v>
      </c>
      <c r="S2" s="91">
        <v>0.19210000000000002</v>
      </c>
      <c r="T2" s="91">
        <v>0.16510000000000002</v>
      </c>
      <c r="U2" s="91">
        <v>0.12659999999999999</v>
      </c>
      <c r="V2" s="91">
        <v>0.1115</v>
      </c>
      <c r="W2" s="91">
        <v>0.1108</v>
      </c>
      <c r="X2" s="91">
        <v>8.6099999999999996E-2</v>
      </c>
      <c r="Y2" s="91">
        <v>0.1166</v>
      </c>
      <c r="Z2" s="91">
        <v>9.5199999999999993E-2</v>
      </c>
      <c r="AA2" s="91">
        <v>7.0099999999999996E-2</v>
      </c>
      <c r="AB2" s="91">
        <v>0.10550000000000001</v>
      </c>
      <c r="AC2" s="91">
        <v>0.126</v>
      </c>
      <c r="AD2" s="91">
        <v>0.14130000000000001</v>
      </c>
      <c r="AE2" s="91">
        <v>0.12130000000000001</v>
      </c>
      <c r="AF2" s="91">
        <v>6.3899999999999998E-2</v>
      </c>
      <c r="AG2" s="91">
        <v>6.4000000000000001E-2</v>
      </c>
      <c r="AH2" s="91">
        <v>3.6499999999999998E-2</v>
      </c>
      <c r="AI2" s="91">
        <v>2.6499999999999999E-2</v>
      </c>
      <c r="AJ2" s="91">
        <v>0.11650000000000001</v>
      </c>
      <c r="AK2" s="91">
        <v>0.13650000000000001</v>
      </c>
      <c r="AL2" s="91">
        <v>0.1065</v>
      </c>
      <c r="AM2" s="92">
        <v>0.14149999999999999</v>
      </c>
    </row>
    <row r="3" spans="1:39" ht="15" thickBot="1" x14ac:dyDescent="0.35">
      <c r="A3" s="87" t="s">
        <v>51</v>
      </c>
      <c r="B3" s="88" cm="1">
        <f t="array" ref="B3">GEOMEAN(1+K3:AM3)-1</f>
        <v>0.11932897589833535</v>
      </c>
      <c r="C3" s="88" cm="1">
        <f t="array" ref="C3">GEOMEAN(1+M3:AM3)-1</f>
        <v>9.2519379169041516E-2</v>
      </c>
      <c r="D3" s="88" cm="1">
        <f t="array" ref="D3">GEOMEAN(1+O3:AM3)-1</f>
        <v>8.2819513562390146E-2</v>
      </c>
      <c r="E3" s="88" cm="1">
        <f t="array" ref="E3">GEOMEAN(1+Y3:AM3)-1</f>
        <v>4.1904037974256569E-2</v>
      </c>
      <c r="F3" s="88" cm="1">
        <f t="array" ref="F3">GEOMEAN(1+AI3:AM3)-1</f>
        <v>0.12272612325360077</v>
      </c>
      <c r="G3" s="109">
        <v>0.2722</v>
      </c>
      <c r="H3" s="110">
        <v>0.26798</v>
      </c>
      <c r="I3" s="110">
        <f t="shared" ref="I3:J4" si="0">(B3-$B$2)/G3</f>
        <v>-7.0496031989415384E-2</v>
      </c>
      <c r="J3" s="110">
        <f t="shared" si="0"/>
        <v>-0.17164943890145798</v>
      </c>
      <c r="K3" s="90">
        <v>0.82526388019939878</v>
      </c>
      <c r="L3" s="91">
        <v>0.32087571870853604</v>
      </c>
      <c r="M3" s="91">
        <v>-0.10463753557676214</v>
      </c>
      <c r="N3" s="91">
        <v>0.66604338070306657</v>
      </c>
      <c r="O3" s="91">
        <v>-0.18978675645342313</v>
      </c>
      <c r="P3" s="91">
        <v>-8.2005817980329687E-2</v>
      </c>
      <c r="Q3" s="91">
        <v>-0.149464312660329</v>
      </c>
      <c r="R3" s="91">
        <v>0.96416215736716038</v>
      </c>
      <c r="S3" s="91">
        <v>0.20178845632734177</v>
      </c>
      <c r="T3" s="91">
        <v>0.42619316046599032</v>
      </c>
      <c r="U3" s="91">
        <v>0.2069247187162393</v>
      </c>
      <c r="V3" s="91">
        <v>0.33106278927604582</v>
      </c>
      <c r="W3" s="91">
        <v>-0.32874622752919569</v>
      </c>
      <c r="X3" s="91">
        <v>0.71951130116065976</v>
      </c>
      <c r="Y3" s="91">
        <v>-2.5365562518651186E-2</v>
      </c>
      <c r="Z3" s="91">
        <v>-5.9429037996092449E-2</v>
      </c>
      <c r="AA3" s="91">
        <v>-0.1264610137963107</v>
      </c>
      <c r="AB3" s="91">
        <v>-0.10537336740488357</v>
      </c>
      <c r="AC3" s="91">
        <v>1.4599119292260099E-2</v>
      </c>
      <c r="AD3" s="91">
        <v>-2.1407624633431044E-2</v>
      </c>
      <c r="AE3" s="91">
        <v>0.2982519228848266</v>
      </c>
      <c r="AF3" s="91">
        <v>0.31363966514834418</v>
      </c>
      <c r="AG3" s="91">
        <v>0.11771726209023869</v>
      </c>
      <c r="AH3" s="91">
        <v>-0.23471050959098905</v>
      </c>
      <c r="AI3" s="91">
        <v>0.59728982949272913</v>
      </c>
      <c r="AJ3" s="91">
        <v>2.8855377329986442E-2</v>
      </c>
      <c r="AK3" s="91">
        <v>-0.15097621876407041</v>
      </c>
      <c r="AL3" s="91">
        <v>0.25739432403305007</v>
      </c>
      <c r="AM3" s="92">
        <v>1.680981623826E-2</v>
      </c>
    </row>
    <row r="4" spans="1:39" ht="15" thickBot="1" x14ac:dyDescent="0.35">
      <c r="A4" s="105" t="s">
        <v>127</v>
      </c>
      <c r="B4" s="88" cm="1">
        <f t="array" ref="B4">GEOMEAN(1+K4:AM4)-1</f>
        <v>0.14320424815235988</v>
      </c>
      <c r="C4" s="88" cm="1">
        <f t="array" ref="C4">GEOMEAN(1+M4:AM4)-1</f>
        <v>0.12454876336760945</v>
      </c>
      <c r="D4" s="88" cm="1">
        <f t="array" ref="D4">GEOMEAN(1+O4:AM4)-1</f>
        <v>0.11855353414498748</v>
      </c>
      <c r="E4" s="88" cm="1">
        <f t="array" ref="E4">GEOMEAN(1+Y4:AM4)-1</f>
        <v>6.2873664753904546E-2</v>
      </c>
      <c r="F4" s="88" cm="1">
        <f t="array" ref="F4">GEOMEAN(1+AI4:AM4)-1</f>
        <v>0.12318034791494803</v>
      </c>
      <c r="G4" s="111">
        <v>0.25516100000000003</v>
      </c>
      <c r="H4" s="111">
        <v>0.251448</v>
      </c>
      <c r="I4" s="111">
        <f t="shared" si="0"/>
        <v>1.8365864479703634E-2</v>
      </c>
      <c r="J4" s="111">
        <f t="shared" si="0"/>
        <v>-5.5555154299277668E-2</v>
      </c>
      <c r="K4" s="106">
        <v>0.66139999999999999</v>
      </c>
      <c r="L4" s="107">
        <v>0.2266</v>
      </c>
      <c r="M4" s="107">
        <v>-0.17219999999999999</v>
      </c>
      <c r="N4" s="107">
        <v>0.74609999999999999</v>
      </c>
      <c r="O4" s="107">
        <v>-4.5400000000000003E-2</v>
      </c>
      <c r="P4" s="107">
        <v>6.4699999999999994E-2</v>
      </c>
      <c r="Q4" s="107">
        <v>-1.06E-2</v>
      </c>
      <c r="R4" s="107">
        <v>0.80430000000000001</v>
      </c>
      <c r="S4" s="107">
        <v>0.3357</v>
      </c>
      <c r="T4" s="107">
        <v>0.49940000000000001</v>
      </c>
      <c r="U4" s="107">
        <v>0.22600000000000001</v>
      </c>
      <c r="V4" s="107">
        <v>0.34549999999999997</v>
      </c>
      <c r="W4" s="107">
        <v>-0.31230000000000002</v>
      </c>
      <c r="X4" s="107">
        <v>0.5998</v>
      </c>
      <c r="Y4" s="107">
        <v>1.34E-2</v>
      </c>
      <c r="Z4" s="107">
        <v>-1.5599999999999999E-2</v>
      </c>
      <c r="AA4" s="107">
        <v>-2.29E-2</v>
      </c>
      <c r="AB4" s="107">
        <v>-3.2000000000000001E-2</v>
      </c>
      <c r="AC4" s="107">
        <v>1.6899999999999998E-2</v>
      </c>
      <c r="AD4" s="107">
        <v>-2.53E-2</v>
      </c>
      <c r="AE4" s="107">
        <v>0.29759999999999998</v>
      </c>
      <c r="AF4" s="107">
        <v>0.31259999999999999</v>
      </c>
      <c r="AG4" s="107">
        <v>0.12670000000000001</v>
      </c>
      <c r="AH4" s="107">
        <v>-0.222</v>
      </c>
      <c r="AI4" s="107">
        <v>0.62170000000000003</v>
      </c>
      <c r="AJ4" s="107">
        <v>2.7900000000000001E-2</v>
      </c>
      <c r="AK4" s="107">
        <v>-0.1605</v>
      </c>
      <c r="AL4" s="108">
        <v>0.25180000000000002</v>
      </c>
      <c r="AM4" s="108">
        <v>2.0400000000000001E-2</v>
      </c>
    </row>
    <row r="5" spans="1:39" x14ac:dyDescent="0.3">
      <c r="A5" s="23" t="s">
        <v>1</v>
      </c>
      <c r="B5" s="27" cm="1">
        <f t="array" ref="B5">GEOMEAN(1+K5:AM5)-1</f>
        <v>0.22564541768586244</v>
      </c>
      <c r="C5" s="75" cm="1">
        <f t="array" ref="C5">GEOMEAN(1+M5:AM5)-1</f>
        <v>0.21034812384043322</v>
      </c>
      <c r="D5" s="75" cm="1">
        <f t="array" ref="D5">GEOMEAN(1+O5:AM5)-1</f>
        <v>0.20274258736025352</v>
      </c>
      <c r="E5" s="75" cm="1">
        <f t="array" ref="E5">GEOMEAN(1+Y5:AM5)-1</f>
        <v>0.12029246765020152</v>
      </c>
      <c r="F5" s="12" cm="1">
        <f t="array" ref="F5">GEOMEAN(1+AI5:AM5)-1</f>
        <v>0.25150207147978643</v>
      </c>
      <c r="G5" s="45">
        <v>0.2793523003563152</v>
      </c>
      <c r="H5" s="45">
        <v>0.28345225169879296</v>
      </c>
      <c r="I5" s="45">
        <f>(B5-$B$2)/G5</f>
        <v>0.31189083379258653</v>
      </c>
      <c r="J5" s="45">
        <f>(C5-$B$2)/H5</f>
        <v>0.25341173902865444</v>
      </c>
      <c r="K5" s="9">
        <v>0.89885925525714405</v>
      </c>
      <c r="L5" s="4">
        <v>0.110477129444816</v>
      </c>
      <c r="M5" s="4">
        <v>8.1541833115566006E-3</v>
      </c>
      <c r="N5" s="4">
        <v>0.70111609937214703</v>
      </c>
      <c r="O5" s="4">
        <v>0.24089769664428101</v>
      </c>
      <c r="P5" s="4">
        <v>-3.3439783999302398E-2</v>
      </c>
      <c r="Q5" s="4">
        <v>0.45844718238884702</v>
      </c>
      <c r="R5" s="4">
        <v>0.96234659976833603</v>
      </c>
      <c r="S5" s="4">
        <v>0.51012601939399604</v>
      </c>
      <c r="T5" s="4">
        <v>9.6557034517141996E-2</v>
      </c>
      <c r="U5" s="4">
        <v>0.50067721271528698</v>
      </c>
      <c r="V5" s="4">
        <v>8.3329281490429605E-2</v>
      </c>
      <c r="W5" s="4">
        <v>-0.13211648448075999</v>
      </c>
      <c r="X5" s="4">
        <v>1.2917172975537801</v>
      </c>
      <c r="Y5" s="4">
        <v>0.28500742255336498</v>
      </c>
      <c r="Z5" s="4">
        <v>0.37738438351445802</v>
      </c>
      <c r="AA5" s="4">
        <v>-0.17007342316596399</v>
      </c>
      <c r="AB5" s="4">
        <v>-0.202677110248076</v>
      </c>
      <c r="AC5" s="4">
        <v>-6.1287614979955697E-2</v>
      </c>
      <c r="AD5" s="4">
        <v>-2.8676109742541402E-2</v>
      </c>
      <c r="AE5" s="4">
        <v>0.236598131320994</v>
      </c>
      <c r="AF5" s="4">
        <v>0.95919029630485897</v>
      </c>
      <c r="AG5" s="4">
        <v>-0.19361472211428801</v>
      </c>
      <c r="AH5" s="4">
        <v>-0.14210474716784999</v>
      </c>
      <c r="AI5" s="4">
        <v>1.67069753365559</v>
      </c>
      <c r="AJ5" s="4">
        <v>5.4022990545787603E-2</v>
      </c>
      <c r="AK5" s="4">
        <v>-8.6394304210963793E-2</v>
      </c>
      <c r="AL5" s="4">
        <v>0.41838963706525301</v>
      </c>
      <c r="AM5" s="5">
        <v>-0.158355428517609</v>
      </c>
    </row>
    <row r="6" spans="1:39" x14ac:dyDescent="0.3">
      <c r="A6" s="24" t="s">
        <v>2</v>
      </c>
      <c r="B6" s="28" cm="1">
        <f t="array" ref="B6">GEOMEAN(1+K6:AM6)-1</f>
        <v>0.2388264815302934</v>
      </c>
      <c r="C6" s="80" cm="1">
        <f t="array" ref="C6">GEOMEAN(1+M6:AM6)-1</f>
        <v>0.23359205280225592</v>
      </c>
      <c r="D6" s="80" cm="1">
        <f t="array" ref="D6">GEOMEAN(1+O6:AM6)-1</f>
        <v>0.22257510137838743</v>
      </c>
      <c r="E6" s="82" cm="1">
        <f t="array" ref="E6">GEOMEAN(1+Y6:AM6)-1</f>
        <v>0.1303828163500047</v>
      </c>
      <c r="F6" s="80" cm="1">
        <f t="array" ref="F6">GEOMEAN(1+AI6:AM6)-1</f>
        <v>0.19315226261308482</v>
      </c>
      <c r="G6" s="46">
        <v>0.2408449207794317</v>
      </c>
      <c r="H6" s="46">
        <v>0.2454486333231424</v>
      </c>
      <c r="I6" s="46">
        <f>(B6-$B$2)/G6</f>
        <v>0.41648578429562455</v>
      </c>
      <c r="J6" s="46">
        <f t="shared" ref="J6:J69" si="1">(C6-$B$2)/H6</f>
        <v>0.38734808057062231</v>
      </c>
      <c r="K6" s="10">
        <v>0.632822335650707</v>
      </c>
      <c r="L6" s="3">
        <v>5.3738388280548201E-2</v>
      </c>
      <c r="M6" s="3">
        <v>-9.2126377581176894E-2</v>
      </c>
      <c r="N6" s="3">
        <v>1.0975780425887101</v>
      </c>
      <c r="O6" s="3">
        <v>0.31524526198838099</v>
      </c>
      <c r="P6" s="3">
        <v>0.22712093093718799</v>
      </c>
      <c r="Q6" s="3">
        <v>0.478188119383191</v>
      </c>
      <c r="R6" s="3">
        <v>0.65860441623427501</v>
      </c>
      <c r="S6" s="3">
        <v>0.55494101541639496</v>
      </c>
      <c r="T6" s="3">
        <v>0.18663416536591301</v>
      </c>
      <c r="U6" s="3">
        <v>0.44563710788453598</v>
      </c>
      <c r="V6" s="3">
        <v>0.19541497200115801</v>
      </c>
      <c r="W6" s="3">
        <v>-0.16345892302703499</v>
      </c>
      <c r="X6" s="3">
        <v>1.29109350987225</v>
      </c>
      <c r="Y6" s="3">
        <v>0.254220969756629</v>
      </c>
      <c r="Z6" s="3">
        <v>0.14740326040847301</v>
      </c>
      <c r="AA6" s="3">
        <v>-3.1187321566189901E-2</v>
      </c>
      <c r="AB6" s="3">
        <v>-0.16650305129791301</v>
      </c>
      <c r="AC6" s="3">
        <v>-0.12628972070158401</v>
      </c>
      <c r="AD6" s="3">
        <v>-0.14958883610717999</v>
      </c>
      <c r="AE6" s="3">
        <v>0.80582217723127603</v>
      </c>
      <c r="AF6" s="3">
        <v>0.63297842066368604</v>
      </c>
      <c r="AG6" s="3">
        <v>-1.39025550651598E-2</v>
      </c>
      <c r="AH6" s="3">
        <v>3.5376332402652103E-2</v>
      </c>
      <c r="AI6" s="3">
        <v>1.38061618892274</v>
      </c>
      <c r="AJ6" s="3">
        <v>0.142545253343177</v>
      </c>
      <c r="AK6" s="3">
        <v>-0.229872251931066</v>
      </c>
      <c r="AL6" s="3">
        <v>0.232229928169219</v>
      </c>
      <c r="AM6" s="6">
        <v>-6.3167327477760299E-2</v>
      </c>
    </row>
    <row r="7" spans="1:39" x14ac:dyDescent="0.3">
      <c r="A7" s="24" t="s">
        <v>3</v>
      </c>
      <c r="B7" s="29" cm="1">
        <f t="array" ref="B7">GEOMEAN(1+K7:AM7)-1</f>
        <v>0.22157046850801465</v>
      </c>
      <c r="C7" s="80" cm="1">
        <f t="array" ref="C7">GEOMEAN(1+M7:AM7)-1</f>
        <v>0.21923207712386339</v>
      </c>
      <c r="D7" s="80" cm="1">
        <f t="array" ref="D7">GEOMEAN(1+O7:AM7)-1</f>
        <v>0.2092038335729407</v>
      </c>
      <c r="E7" s="80" cm="1">
        <f t="array" ref="E7">GEOMEAN(1+Y7:AM7)-1</f>
        <v>0.11074368551944791</v>
      </c>
      <c r="F7" s="80" cm="1">
        <f t="array" ref="F7">GEOMEAN(1+AI7:AM7)-1</f>
        <v>0.1783988448030156</v>
      </c>
      <c r="G7" s="46">
        <v>0.2125492530823454</v>
      </c>
      <c r="H7" s="46">
        <v>0.21565506109602472</v>
      </c>
      <c r="I7" s="46">
        <f t="shared" ref="I7:I69" si="2">(B7-$B$2)/G7</f>
        <v>0.39074459918231003</v>
      </c>
      <c r="J7" s="46">
        <f t="shared" si="1"/>
        <v>0.37427399527651062</v>
      </c>
      <c r="K7" s="10">
        <v>0.53951971461082504</v>
      </c>
      <c r="L7" s="3">
        <v>2.07507548913466E-2</v>
      </c>
      <c r="M7" s="3">
        <v>-8.8357207431437296E-2</v>
      </c>
      <c r="N7" s="3">
        <v>1.00456284532276</v>
      </c>
      <c r="O7" s="3">
        <v>0.234006758102624</v>
      </c>
      <c r="P7" s="3">
        <v>0.26233515023980197</v>
      </c>
      <c r="Q7" s="3">
        <v>0.46606504605143401</v>
      </c>
      <c r="R7" s="3">
        <v>0.81733753171893997</v>
      </c>
      <c r="S7" s="3">
        <v>0.597211535614115</v>
      </c>
      <c r="T7" s="3">
        <v>0.17995961754119599</v>
      </c>
      <c r="U7" s="3">
        <v>0.45460857323092202</v>
      </c>
      <c r="V7" s="3">
        <v>0.23209973159165401</v>
      </c>
      <c r="W7" s="3">
        <v>-0.23036152082198699</v>
      </c>
      <c r="X7" s="3">
        <v>1.21457645971682</v>
      </c>
      <c r="Y7" s="3">
        <v>0.32134826085711599</v>
      </c>
      <c r="Z7" s="3">
        <v>0.190756163952919</v>
      </c>
      <c r="AA7" s="3">
        <v>-2.92758931987681E-2</v>
      </c>
      <c r="AB7" s="3">
        <v>-0.201737810818538</v>
      </c>
      <c r="AC7" s="3">
        <v>-0.10954203226067399</v>
      </c>
      <c r="AD7" s="3">
        <v>-0.186331919402459</v>
      </c>
      <c r="AE7" s="3">
        <v>0.67938129505898903</v>
      </c>
      <c r="AF7" s="3">
        <v>0.45046796536706302</v>
      </c>
      <c r="AG7" s="3">
        <v>3.3359891362463298E-2</v>
      </c>
      <c r="AH7" s="3">
        <v>-4.3477947393638E-2</v>
      </c>
      <c r="AI7" s="3">
        <v>1.1343564110301101</v>
      </c>
      <c r="AJ7" s="3">
        <v>0.12703491228973099</v>
      </c>
      <c r="AK7" s="3">
        <v>-0.246400431292355</v>
      </c>
      <c r="AL7" s="3">
        <v>0.35699925540772198</v>
      </c>
      <c r="AM7" s="6">
        <v>-7.6287166502063603E-2</v>
      </c>
    </row>
    <row r="8" spans="1:39" x14ac:dyDescent="0.3">
      <c r="A8" s="24" t="s">
        <v>4</v>
      </c>
      <c r="B8" s="29" cm="1">
        <f t="array" ref="B8">GEOMEAN(1+K8:AM8)-1</f>
        <v>0.22031991027121833</v>
      </c>
      <c r="C8" s="80" cm="1">
        <f t="array" ref="C8">GEOMEAN(1+M8:AM8)-1</f>
        <v>0.2270230408276197</v>
      </c>
      <c r="D8" s="80" cm="1">
        <f t="array" ref="D8">GEOMEAN(1+O8:AM8)-1</f>
        <v>0.21516092269962095</v>
      </c>
      <c r="E8" s="80" cm="1">
        <f t="array" ref="E8">GEOMEAN(1+Y8:AM8)-1</f>
        <v>0.10998642677836079</v>
      </c>
      <c r="F8" s="80" cm="1">
        <f t="array" ref="F8">GEOMEAN(1+AI8:AM8)-1</f>
        <v>0.17207929799987665</v>
      </c>
      <c r="G8" s="46">
        <v>0.20175020113083594</v>
      </c>
      <c r="H8" s="46">
        <v>0.20408121338066643</v>
      </c>
      <c r="I8" s="46">
        <f t="shared" si="2"/>
        <v>0.4054613775195951</v>
      </c>
      <c r="J8" s="46">
        <f t="shared" si="1"/>
        <v>0.43367561156489076</v>
      </c>
      <c r="K8" s="10">
        <v>0.28824282578577598</v>
      </c>
      <c r="L8" s="3">
        <v>-2.9519232821654299E-3</v>
      </c>
      <c r="M8" s="3">
        <v>-0.158847422261781</v>
      </c>
      <c r="N8" s="3">
        <v>1.28193741340293</v>
      </c>
      <c r="O8" s="3">
        <v>0.30129180738081401</v>
      </c>
      <c r="P8" s="3">
        <v>0.314294569947489</v>
      </c>
      <c r="Q8" s="3">
        <v>0.39131928697198798</v>
      </c>
      <c r="R8" s="3">
        <v>1.07875276714845</v>
      </c>
      <c r="S8" s="3">
        <v>0.51565409768061898</v>
      </c>
      <c r="T8" s="3">
        <v>0.147824055177806</v>
      </c>
      <c r="U8" s="3">
        <v>0.47232040127667002</v>
      </c>
      <c r="V8" s="3">
        <v>0.27178177103151901</v>
      </c>
      <c r="W8" s="3">
        <v>-0.212426221075081</v>
      </c>
      <c r="X8" s="3">
        <v>1.15080581988467</v>
      </c>
      <c r="Y8" s="3">
        <v>0.26093465712806302</v>
      </c>
      <c r="Z8" s="3">
        <v>0.27247126234205998</v>
      </c>
      <c r="AA8" s="3">
        <v>6.3597381723169394E-2</v>
      </c>
      <c r="AB8" s="3">
        <v>-0.16385628588168799</v>
      </c>
      <c r="AC8" s="3">
        <v>-0.15563026906240901</v>
      </c>
      <c r="AD8" s="3">
        <v>-0.119244645176015</v>
      </c>
      <c r="AE8" s="3">
        <v>0.60821089582860099</v>
      </c>
      <c r="AF8" s="3">
        <v>0.36221618789545801</v>
      </c>
      <c r="AG8" s="3">
        <v>4.2192497804696402E-2</v>
      </c>
      <c r="AH8" s="3">
        <v>-0.107401064709024</v>
      </c>
      <c r="AI8" s="3">
        <v>1.0036052778423199</v>
      </c>
      <c r="AJ8" s="3">
        <v>7.6007239024956E-2</v>
      </c>
      <c r="AK8" s="3">
        <v>-0.173072708777155</v>
      </c>
      <c r="AL8" s="3">
        <v>0.34106147834561701</v>
      </c>
      <c r="AM8" s="6">
        <v>-7.4787262656961201E-2</v>
      </c>
    </row>
    <row r="9" spans="1:39" ht="15" thickBot="1" x14ac:dyDescent="0.35">
      <c r="A9" s="68" t="s">
        <v>5</v>
      </c>
      <c r="B9" s="69" cm="1">
        <f t="array" ref="B9">GEOMEAN(1+K9:AM9)-1</f>
        <v>0.22814188574592453</v>
      </c>
      <c r="C9" s="76" cm="1">
        <f t="array" ref="C9">GEOMEAN(1+M9:AM9)-1</f>
        <v>0.23362851510699567</v>
      </c>
      <c r="D9" s="76" cm="1">
        <f t="array" ref="D9">GEOMEAN(1+O9:AM9)-1</f>
        <v>0.22418195521029127</v>
      </c>
      <c r="E9" s="93" cm="1">
        <f t="array" ref="E9">GEOMEAN(1+Y9:AM9)-1</f>
        <v>0.12388731490431271</v>
      </c>
      <c r="F9" s="93" cm="1">
        <f t="array" ref="F9">GEOMEAN(1+AI9:AM9)-1</f>
        <v>0.20245477609930473</v>
      </c>
      <c r="G9" s="70">
        <v>0.18816383255422131</v>
      </c>
      <c r="H9" s="70">
        <v>0.19002799755720537</v>
      </c>
      <c r="I9" s="96">
        <f t="shared" si="2"/>
        <v>0.47630774056562797</v>
      </c>
      <c r="J9" s="96">
        <f t="shared" si="1"/>
        <v>0.50050792790420107</v>
      </c>
      <c r="K9" s="97">
        <v>0.24322862823201599</v>
      </c>
      <c r="L9" s="98">
        <v>7.5667298128166305E-2</v>
      </c>
      <c r="M9" s="98">
        <v>-0.132969827031579</v>
      </c>
      <c r="N9" s="98">
        <v>1.12713588631927</v>
      </c>
      <c r="O9" s="98">
        <v>0.22334274306993099</v>
      </c>
      <c r="P9" s="98">
        <v>0.21545804798573201</v>
      </c>
      <c r="Q9" s="98">
        <v>0.3550537889157</v>
      </c>
      <c r="R9" s="98">
        <v>1.23751646387393</v>
      </c>
      <c r="S9" s="98">
        <v>0.49210530543655201</v>
      </c>
      <c r="T9" s="98">
        <v>0.155736821292556</v>
      </c>
      <c r="U9" s="98">
        <v>0.54018441529133499</v>
      </c>
      <c r="V9" s="98">
        <v>0.349367632664911</v>
      </c>
      <c r="W9" s="98">
        <v>-0.19953486625636199</v>
      </c>
      <c r="X9" s="98">
        <v>1.10665317570168</v>
      </c>
      <c r="Y9" s="98">
        <v>0.311082920507604</v>
      </c>
      <c r="Z9" s="98">
        <v>0.18740134717811099</v>
      </c>
      <c r="AA9" s="98">
        <v>0.13458713836191299</v>
      </c>
      <c r="AB9" s="98">
        <v>-0.107108807386393</v>
      </c>
      <c r="AC9" s="98">
        <v>-0.15108876985570099</v>
      </c>
      <c r="AD9" s="98">
        <v>-0.10544632306906999</v>
      </c>
      <c r="AE9" s="98">
        <v>0.463286360668062</v>
      </c>
      <c r="AF9" s="98">
        <v>0.33090765206797401</v>
      </c>
      <c r="AG9" s="98">
        <v>6.8953161625772599E-2</v>
      </c>
      <c r="AH9" s="98">
        <v>-8.0124432072648993E-2</v>
      </c>
      <c r="AI9" s="98">
        <v>1.0166189970669399</v>
      </c>
      <c r="AJ9" s="98">
        <v>6.0307803006015299E-2</v>
      </c>
      <c r="AK9" s="98">
        <v>-0.115781466416159</v>
      </c>
      <c r="AL9" s="98">
        <v>0.37258182690187103</v>
      </c>
      <c r="AM9" s="99">
        <v>-3.1298240010905899E-2</v>
      </c>
    </row>
    <row r="10" spans="1:39" x14ac:dyDescent="0.3">
      <c r="A10" s="23" t="s">
        <v>6</v>
      </c>
      <c r="B10" s="26" cm="1">
        <f t="array" ref="B10">GEOMEAN(1+K10:AM10)-1</f>
        <v>0.24205877228179595</v>
      </c>
      <c r="C10" s="75" cm="1">
        <f t="array" ref="C10">GEOMEAN(1+M10:AM10)-1</f>
        <v>0.23646204466260645</v>
      </c>
      <c r="D10" s="12" cm="1">
        <f t="array" ref="D10">GEOMEAN(1+O10:AM10)-1</f>
        <v>0.22827094385026658</v>
      </c>
      <c r="E10" s="75" cm="1">
        <f t="array" ref="E10">GEOMEAN(1+Y10:AM10)-1</f>
        <v>0.12817147966700593</v>
      </c>
      <c r="F10" s="12" cm="1">
        <f t="array" ref="F10">GEOMEAN(1+AI10:AM10)-1</f>
        <v>0.2142610567828418</v>
      </c>
      <c r="G10" s="45">
        <v>0.1953049898385508</v>
      </c>
      <c r="H10" s="45">
        <v>0.19671689590309865</v>
      </c>
      <c r="I10" s="49">
        <f t="shared" si="2"/>
        <v>0.53014916086646779</v>
      </c>
      <c r="J10" s="45">
        <f t="shared" si="1"/>
        <v>0.49789342398427622</v>
      </c>
      <c r="K10" s="9">
        <v>0.70734474279591997</v>
      </c>
      <c r="L10" s="4">
        <v>2.07507548913466E-2</v>
      </c>
      <c r="M10" s="4">
        <v>-0.12106742942986801</v>
      </c>
      <c r="N10" s="4">
        <v>1.0538621981465</v>
      </c>
      <c r="O10" s="4">
        <v>0.27352873160568802</v>
      </c>
      <c r="P10" s="4">
        <v>0.26233515023980197</v>
      </c>
      <c r="Q10" s="4">
        <v>0.533663516066058</v>
      </c>
      <c r="R10" s="4">
        <v>0.82881299597587699</v>
      </c>
      <c r="S10" s="4">
        <v>0.64943608071477898</v>
      </c>
      <c r="T10" s="4">
        <v>0.17995961754119599</v>
      </c>
      <c r="U10" s="4">
        <v>0.466152818429938</v>
      </c>
      <c r="V10" s="4">
        <v>0.187858467846866</v>
      </c>
      <c r="W10" s="4">
        <v>-0.18676562540824199</v>
      </c>
      <c r="X10" s="4">
        <v>1.2505185659255</v>
      </c>
      <c r="Y10" s="4">
        <v>0.25981317462417097</v>
      </c>
      <c r="Z10" s="4">
        <v>0.18740134717811099</v>
      </c>
      <c r="AA10" s="4">
        <v>0.130764709755575</v>
      </c>
      <c r="AB10" s="4">
        <v>-0.12256286286985001</v>
      </c>
      <c r="AC10" s="4">
        <v>-0.16471119596042599</v>
      </c>
      <c r="AD10" s="4">
        <v>-0.11378302728884</v>
      </c>
      <c r="AE10" s="4">
        <v>0.52263111216496405</v>
      </c>
      <c r="AF10" s="4">
        <v>0.39216224615041301</v>
      </c>
      <c r="AG10" s="4">
        <v>7.0077583277695601E-2</v>
      </c>
      <c r="AH10" s="4">
        <v>-7.2106929370229805E-2</v>
      </c>
      <c r="AI10" s="4">
        <v>1.00035922203272</v>
      </c>
      <c r="AJ10" s="4">
        <v>4.8103335474166502E-2</v>
      </c>
      <c r="AK10" s="4">
        <v>-9.77737655994977E-2</v>
      </c>
      <c r="AL10" s="4">
        <v>0.37072531272282599</v>
      </c>
      <c r="AM10" s="5">
        <v>1.8081050483457699E-2</v>
      </c>
    </row>
    <row r="11" spans="1:39" x14ac:dyDescent="0.3">
      <c r="A11" s="24" t="s">
        <v>7</v>
      </c>
      <c r="B11" s="29" cm="1">
        <f t="array" ref="B11">GEOMEAN(1+K11:AM11)-1</f>
        <v>0.23101456355320593</v>
      </c>
      <c r="C11" s="82" cm="1">
        <f t="array" ref="C11">GEOMEAN(1+M11:AM11)-1</f>
        <v>0.24384306123055799</v>
      </c>
      <c r="D11" s="80" cm="1">
        <f t="array" ref="D11">GEOMEAN(1+O11:AM11)-1</f>
        <v>0.22576487595516759</v>
      </c>
      <c r="E11" s="82" cm="1">
        <f t="array" ref="E11">GEOMEAN(1+Y11:AM11)-1</f>
        <v>0.15179082466835503</v>
      </c>
      <c r="F11" s="80" cm="1">
        <f t="array" ref="F11">GEOMEAN(1+AI11:AM11)-1</f>
        <v>0.17034105811067679</v>
      </c>
      <c r="G11" s="46">
        <v>0.20302244672474284</v>
      </c>
      <c r="H11" s="46">
        <v>0.20337577361411233</v>
      </c>
      <c r="I11" s="46">
        <f t="shared" si="2"/>
        <v>0.45559773926258629</v>
      </c>
      <c r="J11" s="47">
        <f t="shared" si="1"/>
        <v>0.51788403089027124</v>
      </c>
      <c r="K11" s="10">
        <v>4.5621305092511201E-2</v>
      </c>
      <c r="L11" s="3">
        <v>9.5436586339236407E-2</v>
      </c>
      <c r="M11" s="3">
        <v>-9.6885770984909594E-2</v>
      </c>
      <c r="N11" s="3">
        <v>1.47029529572852</v>
      </c>
      <c r="O11" s="3">
        <v>0.34157161576674899</v>
      </c>
      <c r="P11" s="3">
        <v>0.20618298671052701</v>
      </c>
      <c r="Q11" s="3">
        <v>0.242942268432294</v>
      </c>
      <c r="R11" s="3">
        <v>1.3224828076041699</v>
      </c>
      <c r="S11" s="3">
        <v>0.35660305025649103</v>
      </c>
      <c r="T11" s="3">
        <v>0.11348032473148099</v>
      </c>
      <c r="U11" s="3">
        <v>0.59239424557213605</v>
      </c>
      <c r="V11" s="3">
        <v>0.42063900004552002</v>
      </c>
      <c r="W11" s="3">
        <v>-0.36323452800723299</v>
      </c>
      <c r="X11" s="3">
        <v>0.91644074713786905</v>
      </c>
      <c r="Y11" s="3">
        <v>0.26287397184736799</v>
      </c>
      <c r="Z11" s="3">
        <v>0.17376745498058699</v>
      </c>
      <c r="AA11" s="3">
        <v>0.232530151471319</v>
      </c>
      <c r="AB11" s="3">
        <v>-5.8287646005873599E-2</v>
      </c>
      <c r="AC11" s="3">
        <v>-0.102713006533058</v>
      </c>
      <c r="AD11" s="3">
        <v>5.0644250027568297E-2</v>
      </c>
      <c r="AE11" s="3">
        <v>0.316818555800297</v>
      </c>
      <c r="AF11" s="3">
        <v>0.38489340172214398</v>
      </c>
      <c r="AG11" s="3">
        <v>0.23982466906472399</v>
      </c>
      <c r="AH11" s="3">
        <v>3.4414257704607598E-2</v>
      </c>
      <c r="AI11" s="3">
        <v>0.82957252629709499</v>
      </c>
      <c r="AJ11" s="3">
        <v>7.8895421094318699E-2</v>
      </c>
      <c r="AK11" s="3">
        <v>-0.121507551950609</v>
      </c>
      <c r="AL11" s="3">
        <v>0.40751672892200502</v>
      </c>
      <c r="AM11" s="6">
        <v>-0.10041619423842001</v>
      </c>
    </row>
    <row r="12" spans="1:39" x14ac:dyDescent="0.3">
      <c r="A12" s="24" t="s">
        <v>8</v>
      </c>
      <c r="B12" s="29" cm="1">
        <f t="array" ref="B12">GEOMEAN(1+K12:AM12)-1</f>
        <v>0.22707174592208079</v>
      </c>
      <c r="C12" s="80" cm="1">
        <f t="array" ref="C12">GEOMEAN(1+M12:AM12)-1</f>
        <v>0.23127635459591067</v>
      </c>
      <c r="D12" s="80" cm="1">
        <f t="array" ref="D12">GEOMEAN(1+O12:AM12)-1</f>
        <v>0.19849335232557053</v>
      </c>
      <c r="E12" s="80" cm="1">
        <f t="array" ref="E12">GEOMEAN(1+Y12:AM12)-1</f>
        <v>0.11295891968966232</v>
      </c>
      <c r="F12" s="80" cm="1">
        <f t="array" ref="F12">GEOMEAN(1+AI12:AM12)-1</f>
        <v>0.20617721874017159</v>
      </c>
      <c r="G12" s="46">
        <v>0.24950470121911822</v>
      </c>
      <c r="H12" s="46">
        <v>0.25278000553723651</v>
      </c>
      <c r="I12" s="46">
        <f t="shared" si="2"/>
        <v>0.35491816259789644</v>
      </c>
      <c r="J12" s="46">
        <f t="shared" si="1"/>
        <v>0.36695291066599967</v>
      </c>
      <c r="K12" s="10">
        <v>0.433290714591619</v>
      </c>
      <c r="L12" s="3">
        <v>-4.2155779442836702E-2</v>
      </c>
      <c r="M12" s="3">
        <v>0.69129853053796897</v>
      </c>
      <c r="N12" s="3">
        <v>0.75990228229900503</v>
      </c>
      <c r="O12" s="3">
        <v>0.110889377564638</v>
      </c>
      <c r="P12" s="3">
        <v>9.8300762722425897E-2</v>
      </c>
      <c r="Q12" s="3">
        <v>0.186660940517833</v>
      </c>
      <c r="R12" s="3">
        <v>1.5220301890524699</v>
      </c>
      <c r="S12" s="3">
        <v>0.429977804103157</v>
      </c>
      <c r="T12" s="3">
        <v>0.49831521863377798</v>
      </c>
      <c r="U12" s="3">
        <v>0.31326153337225299</v>
      </c>
      <c r="V12" s="3">
        <v>4.5630185002000397E-2</v>
      </c>
      <c r="W12" s="3">
        <v>-0.34201038242658199</v>
      </c>
      <c r="X12" s="3">
        <v>1.6263574230236999</v>
      </c>
      <c r="Y12" s="3">
        <v>0.19475293428947801</v>
      </c>
      <c r="Z12" s="3">
        <v>7.9769606669344503E-2</v>
      </c>
      <c r="AA12" s="3">
        <v>0.106080636898211</v>
      </c>
      <c r="AB12" s="3">
        <v>-0.158202237527165</v>
      </c>
      <c r="AC12" s="3">
        <v>-8.2310884764480202E-2</v>
      </c>
      <c r="AD12" s="3">
        <v>-0.15571662863036001</v>
      </c>
      <c r="AE12" s="3">
        <v>0.34418840943040502</v>
      </c>
      <c r="AF12" s="3">
        <v>0.31185729400948897</v>
      </c>
      <c r="AG12" s="3">
        <v>0.199259286430225</v>
      </c>
      <c r="AH12" s="3">
        <v>-8.9763923323006294E-3</v>
      </c>
      <c r="AI12" s="3">
        <v>0.85609601576975802</v>
      </c>
      <c r="AJ12" s="3">
        <v>0.12611656951752201</v>
      </c>
      <c r="AK12" s="3">
        <v>-0.15031337823747001</v>
      </c>
      <c r="AL12" s="3">
        <v>0.34327184348165102</v>
      </c>
      <c r="AM12" s="6">
        <v>7.0161022560409195E-2</v>
      </c>
    </row>
    <row r="13" spans="1:39" x14ac:dyDescent="0.3">
      <c r="A13" s="24" t="s">
        <v>9</v>
      </c>
      <c r="B13" s="29" cm="1">
        <f t="array" ref="B13">GEOMEAN(1+K13:AM13)-1</f>
        <v>0.11420525354294964</v>
      </c>
      <c r="C13" s="80" cm="1">
        <f t="array" ref="C13">GEOMEAN(1+M13:AM13)-1</f>
        <v>0.11758470183947756</v>
      </c>
      <c r="D13" s="80" cm="1">
        <f t="array" ref="D13">GEOMEAN(1+O13:AM13)-1</f>
        <v>0.12631169798534492</v>
      </c>
      <c r="E13" s="80" cm="1">
        <f t="array" ref="E13">GEOMEAN(1+Y13:AM13)-1</f>
        <v>4.8467922001512065E-2</v>
      </c>
      <c r="F13" s="80" cm="1">
        <f t="array" ref="F13">GEOMEAN(1+AI13:AM13)-1</f>
        <v>7.5572142776130447E-2</v>
      </c>
      <c r="G13" s="46">
        <v>0.22942859038944452</v>
      </c>
      <c r="H13" s="46">
        <v>0.23098362759533683</v>
      </c>
      <c r="I13" s="46">
        <f t="shared" si="2"/>
        <v>-0.10597084792978424</v>
      </c>
      <c r="J13" s="46">
        <f t="shared" si="1"/>
        <v>-9.0626743480927446E-2</v>
      </c>
      <c r="K13" s="10">
        <v>0.32957359495972499</v>
      </c>
      <c r="L13" s="3">
        <v>-0.13958817792740399</v>
      </c>
      <c r="M13" s="3">
        <v>-0.43909071215115902</v>
      </c>
      <c r="N13" s="3">
        <v>0.83322006813329896</v>
      </c>
      <c r="O13" s="3">
        <v>0.39553633795957799</v>
      </c>
      <c r="P13" s="3">
        <v>-3.4690821381039003E-2</v>
      </c>
      <c r="Q13" s="3">
        <v>-5.8488765657729203E-2</v>
      </c>
      <c r="R13" s="3">
        <v>0.73204961612389896</v>
      </c>
      <c r="S13" s="3">
        <v>0.29159672327752501</v>
      </c>
      <c r="T13" s="3">
        <v>0.44617326229973697</v>
      </c>
      <c r="U13" s="3">
        <v>0.39741065111115997</v>
      </c>
      <c r="V13" s="3">
        <v>0.35039196255969901</v>
      </c>
      <c r="W13" s="3">
        <v>-0.36717099549648102</v>
      </c>
      <c r="X13" s="3">
        <v>0.96302893543293699</v>
      </c>
      <c r="Y13" s="3">
        <v>0.152518278691117</v>
      </c>
      <c r="Z13" s="3">
        <v>-6.9735776098775196E-2</v>
      </c>
      <c r="AA13" s="3">
        <v>9.2217053894338999E-2</v>
      </c>
      <c r="AB13" s="3">
        <v>-0.108323572812926</v>
      </c>
      <c r="AC13" s="3">
        <v>-0.10373050953479999</v>
      </c>
      <c r="AD13" s="3">
        <v>-0.11611201257248401</v>
      </c>
      <c r="AE13" s="3">
        <v>0.38485303017128902</v>
      </c>
      <c r="AF13" s="3">
        <v>0.19153935507373501</v>
      </c>
      <c r="AG13" s="3">
        <v>0.147705933062249</v>
      </c>
      <c r="AH13" s="3">
        <v>-9.8053951913940507E-2</v>
      </c>
      <c r="AI13" s="3">
        <v>1.0637493843621</v>
      </c>
      <c r="AJ13" s="3">
        <v>-8.5708273390570897E-2</v>
      </c>
      <c r="AK13" s="3">
        <v>-0.330962665865491</v>
      </c>
      <c r="AL13" s="3">
        <v>0.29509577099142298</v>
      </c>
      <c r="AM13" s="6">
        <v>-0.11955193678996701</v>
      </c>
    </row>
    <row r="14" spans="1:39" ht="15" thickBot="1" x14ac:dyDescent="0.35">
      <c r="A14" s="25" t="s">
        <v>10</v>
      </c>
      <c r="B14" s="30" cm="1">
        <f t="array" ref="B14">GEOMEAN(1+K14:AM14)-1</f>
        <v>9.4627067136521248E-2</v>
      </c>
      <c r="C14" s="81" cm="1">
        <f t="array" ref="C14">GEOMEAN(1+M14:AM14)-1</f>
        <v>9.1862090154664511E-2</v>
      </c>
      <c r="D14" s="81" cm="1">
        <f t="array" ref="D14">GEOMEAN(1+O14:AM14)-1</f>
        <v>8.2601097553265612E-2</v>
      </c>
      <c r="E14" s="81" cm="1">
        <f t="array" ref="E14">GEOMEAN(1+Y14:AM14)-1</f>
        <v>1.6828791003444588E-2</v>
      </c>
      <c r="F14" s="81" cm="1">
        <f t="array" ref="F14">GEOMEAN(1+AI14:AM14)-1</f>
        <v>5.8248052308198517E-3</v>
      </c>
      <c r="G14" s="48">
        <v>0.23197177477737921</v>
      </c>
      <c r="H14" s="48">
        <v>0.23229967392090997</v>
      </c>
      <c r="I14" s="48">
        <f t="shared" si="2"/>
        <v>-0.18920805650366138</v>
      </c>
      <c r="J14" s="48">
        <f t="shared" si="1"/>
        <v>-0.20084361232067177</v>
      </c>
      <c r="K14" s="11">
        <v>0.46721153590852998</v>
      </c>
      <c r="L14" s="7">
        <v>-0.125627862080292</v>
      </c>
      <c r="M14" s="7">
        <v>-0.20740932671193299</v>
      </c>
      <c r="N14" s="7">
        <v>0.86110007167817804</v>
      </c>
      <c r="O14" s="7">
        <v>0.17260290769529199</v>
      </c>
      <c r="P14" s="7">
        <v>-9.5559737236988102E-2</v>
      </c>
      <c r="Q14" s="7">
        <v>-9.5954105955188704E-2</v>
      </c>
      <c r="R14" s="7">
        <v>1.0671014129830101</v>
      </c>
      <c r="S14" s="7">
        <v>0.34995583005646502</v>
      </c>
      <c r="T14" s="7">
        <v>0.69224247267647299</v>
      </c>
      <c r="U14" s="7">
        <v>0.29694355552367402</v>
      </c>
      <c r="V14" s="7">
        <v>-6.3610352366494996E-2</v>
      </c>
      <c r="W14" s="7">
        <v>-0.52550044431694798</v>
      </c>
      <c r="X14" s="7">
        <v>1.1702776735985101</v>
      </c>
      <c r="Y14" s="7">
        <v>-2.7206383557991799E-2</v>
      </c>
      <c r="Z14" s="7">
        <v>-0.101906546946665</v>
      </c>
      <c r="AA14" s="7">
        <v>1.99203341024905E-2</v>
      </c>
      <c r="AB14" s="7">
        <v>-4.8009770928209003E-2</v>
      </c>
      <c r="AC14" s="7">
        <v>-0.21320349056078899</v>
      </c>
      <c r="AD14" s="7">
        <v>-0.11955731584571</v>
      </c>
      <c r="AE14" s="7">
        <v>0.48173172849642099</v>
      </c>
      <c r="AF14" s="7">
        <v>0.27205668916422898</v>
      </c>
      <c r="AG14" s="7">
        <v>0.13428278393879201</v>
      </c>
      <c r="AH14" s="7">
        <v>-6.8749768852246502E-3</v>
      </c>
      <c r="AI14" s="7">
        <v>0.54487650036757496</v>
      </c>
      <c r="AJ14" s="7">
        <v>-0.19266058123771301</v>
      </c>
      <c r="AK14" s="7">
        <v>-0.34674106382616898</v>
      </c>
      <c r="AL14" s="7">
        <v>0.43293676049229601</v>
      </c>
      <c r="AM14" s="8">
        <v>-0.118242015785858</v>
      </c>
    </row>
    <row r="15" spans="1:39" x14ac:dyDescent="0.3">
      <c r="A15" s="35" t="s">
        <v>11</v>
      </c>
      <c r="B15" s="39" cm="1">
        <f t="array" ref="B15">GEOMEAN(1+K15:AM15)-1</f>
        <v>0.34996849634987126</v>
      </c>
      <c r="C15" s="12" cm="1">
        <f t="array" ref="C15">GEOMEAN(1+M15:AM15)-1</f>
        <v>0.27221886884458901</v>
      </c>
      <c r="D15" s="12" cm="1">
        <f t="array" ref="D15">GEOMEAN(1+O15:AM15)-1</f>
        <v>0.24093961465400882</v>
      </c>
      <c r="E15" s="12" cm="1">
        <f t="array" ref="E15">GEOMEAN(1+Y15:AM15)-1</f>
        <v>0.16978605731122354</v>
      </c>
      <c r="F15" s="12" cm="1">
        <f t="array" ref="F15">GEOMEAN(1+AI15:AM15)-1</f>
        <v>0.25629097963720815</v>
      </c>
      <c r="G15" s="45">
        <v>0.30424247271591337</v>
      </c>
      <c r="H15" s="45">
        <v>0.29003866622321162</v>
      </c>
      <c r="I15" s="49">
        <f t="shared" si="2"/>
        <v>0.69500651456201878</v>
      </c>
      <c r="J15" s="45">
        <f t="shared" si="1"/>
        <v>0.46097603047119101</v>
      </c>
      <c r="K15" s="36">
        <v>0.88998250525959</v>
      </c>
      <c r="L15" s="37">
        <v>3.78363587875688</v>
      </c>
      <c r="M15" s="37">
        <v>-0.16715904657240699</v>
      </c>
      <c r="N15" s="37">
        <v>2.62110555408771</v>
      </c>
      <c r="O15" s="37">
        <v>0.30026213959512899</v>
      </c>
      <c r="P15" s="37">
        <v>-7.8154049358457794E-2</v>
      </c>
      <c r="Q15" s="37">
        <v>0.29803505056626001</v>
      </c>
      <c r="R15" s="37">
        <v>0.38446524250794301</v>
      </c>
      <c r="S15" s="37">
        <v>0.76377537756874003</v>
      </c>
      <c r="T15" s="37">
        <v>0.340021213583454</v>
      </c>
      <c r="U15" s="37">
        <v>0.846437176543956</v>
      </c>
      <c r="V15" s="37">
        <v>6.5316305953235995E-2</v>
      </c>
      <c r="W15" s="37">
        <v>-0.135003474831139</v>
      </c>
      <c r="X15" s="37">
        <v>1.42398228349059</v>
      </c>
      <c r="Y15" s="37">
        <v>0.65711054723943896</v>
      </c>
      <c r="Z15" s="37">
        <v>0.195987252155715</v>
      </c>
      <c r="AA15" s="37">
        <v>3.3426958294098703E-2</v>
      </c>
      <c r="AB15" s="37">
        <v>-1.38522264232362E-2</v>
      </c>
      <c r="AC15" s="37">
        <v>-0.119533910705218</v>
      </c>
      <c r="AD15" s="37">
        <v>4.0950225719716501E-2</v>
      </c>
      <c r="AE15" s="37">
        <v>0.34871160707798099</v>
      </c>
      <c r="AF15" s="37">
        <v>0.20668507179618101</v>
      </c>
      <c r="AG15" s="37">
        <v>9.8369606869964404E-2</v>
      </c>
      <c r="AH15" s="37">
        <v>1.4942517472795701E-2</v>
      </c>
      <c r="AI15" s="37">
        <v>3.0636772330896598</v>
      </c>
      <c r="AJ15" s="37">
        <v>0.100277703241214</v>
      </c>
      <c r="AK15" s="37">
        <v>-0.38048764809081997</v>
      </c>
      <c r="AL15" s="37">
        <v>0.387426780041631</v>
      </c>
      <c r="AM15" s="38">
        <v>-0.185727727308312</v>
      </c>
    </row>
    <row r="16" spans="1:39" x14ac:dyDescent="0.3">
      <c r="A16" s="24" t="s">
        <v>12</v>
      </c>
      <c r="B16" s="29" cm="1">
        <f t="array" ref="B16">GEOMEAN(1+K16:AM16)-1</f>
        <v>0.29112053404479066</v>
      </c>
      <c r="C16" s="80" cm="1">
        <f t="array" ref="C16">GEOMEAN(1+M16:AM16)-1</f>
        <v>0.24078651621004155</v>
      </c>
      <c r="D16" s="80" cm="1">
        <f t="array" ref="D16">GEOMEAN(1+O16:AM16)-1</f>
        <v>0.21648885707879884</v>
      </c>
      <c r="E16" s="80" cm="1">
        <f t="array" ref="E16">GEOMEAN(1+Y16:AM16)-1</f>
        <v>0.13157325581280666</v>
      </c>
      <c r="F16" s="80" cm="1">
        <f t="array" ref="F16">GEOMEAN(1+AI16:AM16)-1</f>
        <v>0.20903955325849788</v>
      </c>
      <c r="G16" s="46">
        <v>0.23372215420987172</v>
      </c>
      <c r="H16" s="46">
        <v>0.22709444264104697</v>
      </c>
      <c r="I16" s="46">
        <f t="shared" si="2"/>
        <v>0.65292286370895924</v>
      </c>
      <c r="J16" s="46">
        <f t="shared" si="1"/>
        <v>0.45033475594925215</v>
      </c>
      <c r="K16" s="10">
        <v>0.752990714863364</v>
      </c>
      <c r="L16" s="3">
        <v>1.78250837161817</v>
      </c>
      <c r="M16" s="3">
        <v>-6.0372108136483103E-2</v>
      </c>
      <c r="N16" s="3">
        <v>1.68634312092042</v>
      </c>
      <c r="O16" s="3">
        <v>0.20475593385009799</v>
      </c>
      <c r="P16" s="3">
        <v>0.20656344086690001</v>
      </c>
      <c r="Q16" s="3">
        <v>0.54723779647007098</v>
      </c>
      <c r="R16" s="3">
        <v>0.67847787314167896</v>
      </c>
      <c r="S16" s="3">
        <v>0.49440677835812502</v>
      </c>
      <c r="T16" s="3">
        <v>0.26446214284192199</v>
      </c>
      <c r="U16" s="3">
        <v>0.560198800036668</v>
      </c>
      <c r="V16" s="3">
        <v>0.124367522636501</v>
      </c>
      <c r="W16" s="3">
        <v>-0.20783059521714001</v>
      </c>
      <c r="X16" s="3">
        <v>1.11963158097711</v>
      </c>
      <c r="Y16" s="3">
        <v>0.415139617781425</v>
      </c>
      <c r="Z16" s="3">
        <v>0.17672586530084899</v>
      </c>
      <c r="AA16" s="3">
        <v>-3.7459164630668902E-2</v>
      </c>
      <c r="AB16" s="3">
        <v>-7.9128463146328806E-2</v>
      </c>
      <c r="AC16" s="3">
        <v>-0.11273020695008799</v>
      </c>
      <c r="AD16" s="3">
        <v>-5.8690366114685297E-2</v>
      </c>
      <c r="AE16" s="3">
        <v>0.38856021156753501</v>
      </c>
      <c r="AF16" s="3">
        <v>0.24196408217186699</v>
      </c>
      <c r="AG16" s="3">
        <v>0.123949914241551</v>
      </c>
      <c r="AH16" s="3">
        <v>3.4512781898836699E-2</v>
      </c>
      <c r="AI16" s="3">
        <v>1.6827351715674199</v>
      </c>
      <c r="AJ16" s="3">
        <v>5.6462118315152597E-2</v>
      </c>
      <c r="AK16" s="3">
        <v>-0.28997417529427899</v>
      </c>
      <c r="AL16" s="3">
        <v>0.33601753537471701</v>
      </c>
      <c r="AM16" s="6">
        <v>-3.9086026508223903E-2</v>
      </c>
    </row>
    <row r="17" spans="1:39" x14ac:dyDescent="0.3">
      <c r="A17" s="24" t="s">
        <v>13</v>
      </c>
      <c r="B17" s="29" cm="1">
        <f t="array" ref="B17">GEOMEAN(1+K17:AM17)-1</f>
        <v>0.2755461351078925</v>
      </c>
      <c r="C17" s="80" cm="1">
        <f t="array" ref="C17">GEOMEAN(1+M17:AM17)-1</f>
        <v>0.23368404298003531</v>
      </c>
      <c r="D17" s="80" cm="1">
        <f t="array" ref="D17">GEOMEAN(1+O17:AM17)-1</f>
        <v>0.2097783558567754</v>
      </c>
      <c r="E17" s="80" cm="1">
        <f t="array" ref="E17">GEOMEAN(1+Y17:AM17)-1</f>
        <v>0.10576774894350138</v>
      </c>
      <c r="F17" s="80" cm="1">
        <f t="array" ref="F17">GEOMEAN(1+AI17:AM17)-1</f>
        <v>0.14917007920321645</v>
      </c>
      <c r="G17" s="46">
        <v>0.20949361529751098</v>
      </c>
      <c r="H17" s="46">
        <v>0.20568936073387942</v>
      </c>
      <c r="I17" s="46">
        <f t="shared" si="2"/>
        <v>0.65409219802445373</v>
      </c>
      <c r="J17" s="46">
        <f t="shared" si="1"/>
        <v>0.46266878770315584</v>
      </c>
      <c r="K17" s="10">
        <v>0.75009677899080096</v>
      </c>
      <c r="L17" s="3">
        <v>1.2888657407836499</v>
      </c>
      <c r="M17" s="3">
        <v>2.6378626191097699E-2</v>
      </c>
      <c r="N17" s="3">
        <v>1.4185425010531101</v>
      </c>
      <c r="O17" s="3">
        <v>0.18385993521904001</v>
      </c>
      <c r="P17" s="3">
        <v>0.31282132236197302</v>
      </c>
      <c r="Q17" s="3">
        <v>0.47244886352183302</v>
      </c>
      <c r="R17" s="3">
        <v>0.81909860422175695</v>
      </c>
      <c r="S17" s="3">
        <v>0.57707609203909105</v>
      </c>
      <c r="T17" s="3">
        <v>0.26339559224762599</v>
      </c>
      <c r="U17" s="3">
        <v>0.55222892372111199</v>
      </c>
      <c r="V17" s="3">
        <v>0.18942576052378299</v>
      </c>
      <c r="W17" s="3">
        <v>-0.16480573734196299</v>
      </c>
      <c r="X17" s="3">
        <v>1.0221410459840701</v>
      </c>
      <c r="Y17" s="3">
        <v>0.467947104281283</v>
      </c>
      <c r="Z17" s="3">
        <v>0.15920438313486801</v>
      </c>
      <c r="AA17" s="3">
        <v>-1.23317181168378E-2</v>
      </c>
      <c r="AB17" s="3">
        <v>-0.10770550751781401</v>
      </c>
      <c r="AC17" s="3">
        <v>-0.132803211759109</v>
      </c>
      <c r="AD17" s="3">
        <v>-7.6147567396297994E-2</v>
      </c>
      <c r="AE17" s="3">
        <v>0.43815542593502899</v>
      </c>
      <c r="AF17" s="3">
        <v>0.15511471706621399</v>
      </c>
      <c r="AG17" s="3">
        <v>0.22030497381300901</v>
      </c>
      <c r="AH17" s="3">
        <v>-7.4390280667105596E-2</v>
      </c>
      <c r="AI17" s="3">
        <v>1.2281642976495399</v>
      </c>
      <c r="AJ17" s="3">
        <v>6.0859690268258798E-2</v>
      </c>
      <c r="AK17" s="3">
        <v>-0.26932256039227098</v>
      </c>
      <c r="AL17" s="3">
        <v>0.21971978957024699</v>
      </c>
      <c r="AM17" s="6">
        <v>-4.8671250143051799E-2</v>
      </c>
    </row>
    <row r="18" spans="1:39" x14ac:dyDescent="0.3">
      <c r="A18" s="24" t="s">
        <v>14</v>
      </c>
      <c r="B18" s="29" cm="1">
        <f t="array" ref="B18">GEOMEAN(1+K18:AM18)-1</f>
        <v>0.26759113988419103</v>
      </c>
      <c r="C18" s="80" cm="1">
        <f t="array" ref="C18">GEOMEAN(1+M18:AM18)-1</f>
        <v>0.23543894923650233</v>
      </c>
      <c r="D18" s="80" cm="1">
        <f t="array" ref="D18">GEOMEAN(1+O18:AM18)-1</f>
        <v>0.21250956491524753</v>
      </c>
      <c r="E18" s="80" cm="1">
        <f t="array" ref="E18">GEOMEAN(1+Y18:AM18)-1</f>
        <v>0.11293450994682552</v>
      </c>
      <c r="F18" s="80" cm="1">
        <f t="array" ref="F18">GEOMEAN(1+AI18:AM18)-1</f>
        <v>0.16485960266083999</v>
      </c>
      <c r="G18" s="46">
        <v>0.20093584766540032</v>
      </c>
      <c r="H18" s="46">
        <v>0.1985669619571914</v>
      </c>
      <c r="I18" s="46">
        <f t="shared" si="2"/>
        <v>0.64235996502361414</v>
      </c>
      <c r="J18" s="46">
        <f t="shared" si="1"/>
        <v>0.48810211162692346</v>
      </c>
      <c r="K18" s="10">
        <v>0.64291396574787296</v>
      </c>
      <c r="L18" s="3">
        <v>0.95707300658805805</v>
      </c>
      <c r="M18" s="3">
        <v>2.1564188271284299E-2</v>
      </c>
      <c r="N18" s="3">
        <v>1.38660097603113</v>
      </c>
      <c r="O18" s="3">
        <v>0.21126115544996801</v>
      </c>
      <c r="P18" s="3">
        <v>0.28158504201003598</v>
      </c>
      <c r="Q18" s="3">
        <v>0.41152458795755198</v>
      </c>
      <c r="R18" s="3">
        <v>0.79918653277420204</v>
      </c>
      <c r="S18" s="3">
        <v>0.56697213321514295</v>
      </c>
      <c r="T18" s="3">
        <v>0.246727569176172</v>
      </c>
      <c r="U18" s="3">
        <v>0.49957630674528097</v>
      </c>
      <c r="V18" s="3">
        <v>0.228488062042392</v>
      </c>
      <c r="W18" s="3">
        <v>-0.16582173095070801</v>
      </c>
      <c r="X18" s="3">
        <v>1.0984765191369401</v>
      </c>
      <c r="Y18" s="3">
        <v>0.44388035126927</v>
      </c>
      <c r="Z18" s="3">
        <v>0.20243326976361001</v>
      </c>
      <c r="AA18" s="3">
        <v>7.9612840840627405E-2</v>
      </c>
      <c r="AB18" s="3">
        <v>-9.2941734271477797E-2</v>
      </c>
      <c r="AC18" s="3">
        <v>-0.20795405580576501</v>
      </c>
      <c r="AD18" s="3">
        <v>-4.79057102763625E-2</v>
      </c>
      <c r="AE18" s="3">
        <v>0.42263852085210502</v>
      </c>
      <c r="AF18" s="3">
        <v>0.17480623826152999</v>
      </c>
      <c r="AG18" s="3">
        <v>0.192085599352495</v>
      </c>
      <c r="AH18" s="3">
        <v>-9.1380158553744706E-2</v>
      </c>
      <c r="AI18" s="3">
        <v>1.2331060482492899</v>
      </c>
      <c r="AJ18" s="3">
        <v>3.86720496693604E-2</v>
      </c>
      <c r="AK18" s="3">
        <v>-0.261606490354715</v>
      </c>
      <c r="AL18" s="3">
        <v>0.27440618268740902</v>
      </c>
      <c r="AM18" s="6">
        <v>-1.7382741631473499E-2</v>
      </c>
    </row>
    <row r="19" spans="1:39" ht="15" thickBot="1" x14ac:dyDescent="0.35">
      <c r="A19" s="68" t="s">
        <v>15</v>
      </c>
      <c r="B19" s="69" cm="1">
        <f t="array" ref="B19">GEOMEAN(1+K19:AM19)-1</f>
        <v>0.2679288791094061</v>
      </c>
      <c r="C19" s="93" cm="1">
        <f t="array" ref="C19">GEOMEAN(1+M19:AM19)-1</f>
        <v>0.24518158917138022</v>
      </c>
      <c r="D19" s="93" cm="1">
        <f t="array" ref="D19">GEOMEAN(1+O19:AM19)-1</f>
        <v>0.22722438926190947</v>
      </c>
      <c r="E19" s="93" cm="1">
        <f t="array" ref="E19">GEOMEAN(1+Y19:AM19)-1</f>
        <v>0.12597751160991533</v>
      </c>
      <c r="F19" s="93" cm="1">
        <f t="array" ref="F19">GEOMEAN(1+AI19:AM19)-1</f>
        <v>0.1981558578399969</v>
      </c>
      <c r="G19" s="70">
        <v>0.19516787836750465</v>
      </c>
      <c r="H19" s="70">
        <v>0.19539778651468748</v>
      </c>
      <c r="I19" s="70">
        <f t="shared" si="2"/>
        <v>0.6630747046389921</v>
      </c>
      <c r="J19" s="96">
        <f t="shared" si="1"/>
        <v>0.5458792306099558</v>
      </c>
      <c r="K19" s="97">
        <v>0.65476870236009899</v>
      </c>
      <c r="L19" s="98">
        <v>0.583915357044406</v>
      </c>
      <c r="M19" s="98">
        <v>-2.45048576785301E-3</v>
      </c>
      <c r="N19" s="98">
        <v>1.2348518925327601</v>
      </c>
      <c r="O19" s="98">
        <v>0.24101636970852799</v>
      </c>
      <c r="P19" s="98">
        <v>0.37500591384548199</v>
      </c>
      <c r="Q19" s="98">
        <v>0.32073500114908599</v>
      </c>
      <c r="R19" s="98">
        <v>0.95376887228513596</v>
      </c>
      <c r="S19" s="98">
        <v>0.47909159483706298</v>
      </c>
      <c r="T19" s="98">
        <v>0.34384818656847199</v>
      </c>
      <c r="U19" s="98">
        <v>0.54040565540147201</v>
      </c>
      <c r="V19" s="98">
        <v>0.26413607079455398</v>
      </c>
      <c r="W19" s="98">
        <v>-0.226230487049942</v>
      </c>
      <c r="X19" s="98">
        <v>1.13794692543316</v>
      </c>
      <c r="Y19" s="98">
        <v>0.36590696264153599</v>
      </c>
      <c r="Z19" s="98">
        <v>0.235568072056971</v>
      </c>
      <c r="AA19" s="98">
        <v>0.106168152738323</v>
      </c>
      <c r="AB19" s="98">
        <v>-0.10023097666113299</v>
      </c>
      <c r="AC19" s="98">
        <v>-0.22352234332531501</v>
      </c>
      <c r="AD19" s="98">
        <v>-5.1934000559046699E-2</v>
      </c>
      <c r="AE19" s="98">
        <v>0.47445428654732802</v>
      </c>
      <c r="AF19" s="98">
        <v>0.158415008954401</v>
      </c>
      <c r="AG19" s="98">
        <v>0.174149038342858</v>
      </c>
      <c r="AH19" s="98">
        <v>-3.1827060818272503E-2</v>
      </c>
      <c r="AI19" s="98">
        <v>1.12551129178564</v>
      </c>
      <c r="AJ19" s="98">
        <v>7.29965741509533E-2</v>
      </c>
      <c r="AK19" s="98">
        <v>-0.132272859999987</v>
      </c>
      <c r="AL19" s="98">
        <v>0.31718845409907598</v>
      </c>
      <c r="AM19" s="99">
        <v>-5.2730119434372801E-2</v>
      </c>
    </row>
    <row r="20" spans="1:39" x14ac:dyDescent="0.3">
      <c r="A20" s="23" t="s">
        <v>16</v>
      </c>
      <c r="B20" s="26" cm="1">
        <f t="array" ref="B20">GEOMEAN(1+K20:AM20)-1</f>
        <v>0.289264230833022</v>
      </c>
      <c r="C20" s="12" cm="1">
        <f t="array" ref="C20">GEOMEAN(1+M20:AM20)-1</f>
        <v>0.25418801252590151</v>
      </c>
      <c r="D20" s="12" cm="1">
        <f t="array" ref="D20">GEOMEAN(1+O20:AM20)-1</f>
        <v>0.22766444057555368</v>
      </c>
      <c r="E20" s="12" cm="1">
        <f t="array" ref="E20">GEOMEAN(1+Y20:AM20)-1</f>
        <v>0.13254019256490834</v>
      </c>
      <c r="F20" s="12" cm="1">
        <f t="array" ref="F20">GEOMEAN(1+AI20:AM20)-1</f>
        <v>0.216885908043847</v>
      </c>
      <c r="G20" s="45">
        <v>0.20589767806582096</v>
      </c>
      <c r="H20" s="45">
        <v>0.20287739385503065</v>
      </c>
      <c r="I20" s="49">
        <f t="shared" si="2"/>
        <v>0.73214150078456697</v>
      </c>
      <c r="J20" s="49">
        <f t="shared" si="1"/>
        <v>0.57014739060923258</v>
      </c>
      <c r="K20" s="9">
        <v>0.68528775813364395</v>
      </c>
      <c r="L20" s="4">
        <v>1.0770673862717901</v>
      </c>
      <c r="M20" s="4">
        <v>-8.3312214402420104E-4</v>
      </c>
      <c r="N20" s="4">
        <v>1.68634312092042</v>
      </c>
      <c r="O20" s="4">
        <v>0.18214376007705699</v>
      </c>
      <c r="P20" s="4">
        <v>0.31282132236197302</v>
      </c>
      <c r="Q20" s="4">
        <v>0.61666686416923799</v>
      </c>
      <c r="R20" s="4">
        <v>0.67847787314167896</v>
      </c>
      <c r="S20" s="4">
        <v>0.554602883491778</v>
      </c>
      <c r="T20" s="4">
        <v>0.26339559224762599</v>
      </c>
      <c r="U20" s="4">
        <v>0.56421208370810005</v>
      </c>
      <c r="V20" s="4">
        <v>0.21122831287492899</v>
      </c>
      <c r="W20" s="4">
        <v>-0.21156971501417501</v>
      </c>
      <c r="X20" s="4">
        <v>1.11023933606284</v>
      </c>
      <c r="Y20" s="4">
        <v>0.38759119907697598</v>
      </c>
      <c r="Z20" s="4">
        <v>0.23335697872466599</v>
      </c>
      <c r="AA20" s="4">
        <v>0.11222499213352401</v>
      </c>
      <c r="AB20" s="4">
        <v>-0.103965234352347</v>
      </c>
      <c r="AC20" s="4">
        <v>-0.216157404086155</v>
      </c>
      <c r="AD20" s="4">
        <v>-4.6175397041604102E-2</v>
      </c>
      <c r="AE20" s="4">
        <v>0.44005401749540601</v>
      </c>
      <c r="AF20" s="4">
        <v>0.16931448892321399</v>
      </c>
      <c r="AG20" s="4">
        <v>0.16293409047256699</v>
      </c>
      <c r="AH20" s="4">
        <v>-2.9211539081203001E-2</v>
      </c>
      <c r="AI20" s="4">
        <v>1.2062658651072</v>
      </c>
      <c r="AJ20" s="4">
        <v>7.4952355291769898E-2</v>
      </c>
      <c r="AK20" s="4">
        <v>-0.10813910900757299</v>
      </c>
      <c r="AL20" s="4">
        <v>0.32808485656578301</v>
      </c>
      <c r="AM20" s="5">
        <v>-5.0096904032683499E-2</v>
      </c>
    </row>
    <row r="21" spans="1:39" x14ac:dyDescent="0.3">
      <c r="A21" s="24" t="s">
        <v>17</v>
      </c>
      <c r="B21" s="29" cm="1">
        <f t="array" ref="B21">GEOMEAN(1+K21:AM21)-1</f>
        <v>0.22939445670301595</v>
      </c>
      <c r="C21" s="80" cm="1">
        <f t="array" ref="C21">GEOMEAN(1+M21:AM21)-1</f>
        <v>0.22869679643726326</v>
      </c>
      <c r="D21" s="80" cm="1">
        <f t="array" ref="D21">GEOMEAN(1+O21:AM21)-1</f>
        <v>0.21819688783973312</v>
      </c>
      <c r="E21" s="80" cm="1">
        <f t="array" ref="E21">GEOMEAN(1+Y21:AM21)-1</f>
        <v>0.1125231168148384</v>
      </c>
      <c r="F21" s="80" cm="1">
        <f t="array" ref="F21">GEOMEAN(1+AI21:AM21)-1</f>
        <v>0.16159446021756985</v>
      </c>
      <c r="G21" s="46">
        <v>0.20319554830565162</v>
      </c>
      <c r="H21" s="46">
        <v>0.20460686392896507</v>
      </c>
      <c r="I21" s="46">
        <f t="shared" si="2"/>
        <v>0.4472364756754571</v>
      </c>
      <c r="J21" s="46">
        <f t="shared" si="1"/>
        <v>0.44074181530252621</v>
      </c>
      <c r="K21" s="10">
        <v>0.67264547066699099</v>
      </c>
      <c r="L21" s="3">
        <v>-8.2439377940374106E-2</v>
      </c>
      <c r="M21" s="3">
        <v>1.7980807670205701E-2</v>
      </c>
      <c r="N21" s="3">
        <v>0.83793804967155505</v>
      </c>
      <c r="O21" s="3">
        <v>0.269780975437375</v>
      </c>
      <c r="P21" s="3">
        <v>0.38962654227655602</v>
      </c>
      <c r="Q21" s="3">
        <v>0.18370459018959501</v>
      </c>
      <c r="R21" s="3">
        <v>1.1820490148718601</v>
      </c>
      <c r="S21" s="3">
        <v>0.46507490942847501</v>
      </c>
      <c r="T21" s="3">
        <v>0.42339217774114501</v>
      </c>
      <c r="U21" s="3">
        <v>0.47756080360658298</v>
      </c>
      <c r="V21" s="3">
        <v>0.179252995649541</v>
      </c>
      <c r="W21" s="3">
        <v>-0.21371627145602301</v>
      </c>
      <c r="X21" s="3">
        <v>1.15600959860897</v>
      </c>
      <c r="Y21" s="3">
        <v>0.14923143299033401</v>
      </c>
      <c r="Z21" s="3">
        <v>8.5451006215583505E-2</v>
      </c>
      <c r="AA21" s="3">
        <v>0.187529957239194</v>
      </c>
      <c r="AB21" s="3">
        <v>-0.10347284239322301</v>
      </c>
      <c r="AC21" s="3">
        <v>-9.2713899723506493E-2</v>
      </c>
      <c r="AD21" s="3">
        <v>-8.9358510097627394E-2</v>
      </c>
      <c r="AE21" s="3">
        <v>0.42449467945957797</v>
      </c>
      <c r="AF21" s="3">
        <v>0.26861531001777</v>
      </c>
      <c r="AG21" s="3">
        <v>0.204066238543444</v>
      </c>
      <c r="AH21" s="3">
        <v>-1.9597519408818698E-2</v>
      </c>
      <c r="AI21" s="3">
        <v>0.56335731437405401</v>
      </c>
      <c r="AJ21" s="3">
        <v>0.10620061904374201</v>
      </c>
      <c r="AK21" s="3">
        <v>-0.112432912722514</v>
      </c>
      <c r="AL21" s="3">
        <v>0.40008594407325998</v>
      </c>
      <c r="AM21" s="6">
        <v>-1.5933089548618599E-2</v>
      </c>
    </row>
    <row r="22" spans="1:39" x14ac:dyDescent="0.3">
      <c r="A22" s="24" t="s">
        <v>18</v>
      </c>
      <c r="B22" s="29" cm="1">
        <f t="array" ref="B22">GEOMEAN(1+K22:AM22)-1</f>
        <v>0.21722204740709206</v>
      </c>
      <c r="C22" s="80" cm="1">
        <f t="array" ref="C22">GEOMEAN(1+M22:AM22)-1</f>
        <v>0.18641306743568076</v>
      </c>
      <c r="D22" s="80" cm="1">
        <f t="array" ref="D22">GEOMEAN(1+O22:AM22)-1</f>
        <v>0.18074538572821841</v>
      </c>
      <c r="E22" s="80" cm="1">
        <f t="array" ref="E22">GEOMEAN(1+Y22:AM22)-1</f>
        <v>0.10188321429687552</v>
      </c>
      <c r="F22" s="80" cm="1">
        <f t="array" ref="F22">GEOMEAN(1+AI22:AM22)-1</f>
        <v>0.15443232298249931</v>
      </c>
      <c r="G22" s="46">
        <v>0.20104816252166077</v>
      </c>
      <c r="H22" s="46">
        <v>0.20312583152602631</v>
      </c>
      <c r="I22" s="46">
        <f t="shared" si="2"/>
        <v>0.39146864419991068</v>
      </c>
      <c r="J22" s="46">
        <f t="shared" si="1"/>
        <v>0.23579015662362857</v>
      </c>
      <c r="K22" s="10">
        <v>0.51247666301988803</v>
      </c>
      <c r="L22" s="3">
        <v>0.95733846327360095</v>
      </c>
      <c r="M22" s="3">
        <v>-0.20785786204458001</v>
      </c>
      <c r="N22" s="3">
        <v>1.00290493685255</v>
      </c>
      <c r="O22" s="3">
        <v>0.23331564066622201</v>
      </c>
      <c r="P22" s="3">
        <v>-1.6936012858004301E-4</v>
      </c>
      <c r="Q22" s="3">
        <v>0.101192097599036</v>
      </c>
      <c r="R22" s="3">
        <v>1.0328762576635599</v>
      </c>
      <c r="S22" s="3">
        <v>0.56924376825497802</v>
      </c>
      <c r="T22" s="3">
        <v>0.45442050614545099</v>
      </c>
      <c r="U22" s="3">
        <v>0.51748460018599096</v>
      </c>
      <c r="V22" s="3">
        <v>0.13506625550440901</v>
      </c>
      <c r="W22" s="3">
        <v>-0.37565287267273401</v>
      </c>
      <c r="X22" s="3">
        <v>1.1925332224537399</v>
      </c>
      <c r="Y22" s="3">
        <v>0.18733361026364601</v>
      </c>
      <c r="Z22" s="3">
        <v>2.3611564737637099E-2</v>
      </c>
      <c r="AA22" s="3">
        <v>4.7181209322843198E-2</v>
      </c>
      <c r="AB22" s="3">
        <v>-4.0610982467007499E-2</v>
      </c>
      <c r="AC22" s="3">
        <v>-1.05641705943547E-2</v>
      </c>
      <c r="AD22" s="3">
        <v>-9.2928148103168906E-2</v>
      </c>
      <c r="AE22" s="3">
        <v>0.312447042808082</v>
      </c>
      <c r="AF22" s="3">
        <v>0.45191678282804698</v>
      </c>
      <c r="AG22" s="3">
        <v>0.12795286706932099</v>
      </c>
      <c r="AH22" s="3">
        <v>-0.112593103514017</v>
      </c>
      <c r="AI22" s="3">
        <v>0.77146128245047296</v>
      </c>
      <c r="AJ22" s="3">
        <v>3.4826384745294502E-3</v>
      </c>
      <c r="AK22" s="3">
        <v>-0.180014046019599</v>
      </c>
      <c r="AL22" s="3">
        <v>0.56002211189678697</v>
      </c>
      <c r="AM22" s="6">
        <v>-9.8296624701843596E-2</v>
      </c>
    </row>
    <row r="23" spans="1:39" x14ac:dyDescent="0.3">
      <c r="A23" s="24" t="s">
        <v>19</v>
      </c>
      <c r="B23" s="29" cm="1">
        <f t="array" ref="B23">GEOMEAN(1+K23:AM23)-1</f>
        <v>0.16585928293460217</v>
      </c>
      <c r="C23" s="80" cm="1">
        <f t="array" ref="C23">GEOMEAN(1+M23:AM23)-1</f>
        <v>0.16441499502098056</v>
      </c>
      <c r="D23" s="80" cm="1">
        <f t="array" ref="D23">GEOMEAN(1+O23:AM23)-1</f>
        <v>0.13905815278461686</v>
      </c>
      <c r="E23" s="80" cm="1">
        <f t="array" ref="E23">GEOMEAN(1+Y23:AM23)-1</f>
        <v>8.9374576379278814E-2</v>
      </c>
      <c r="F23" s="80" cm="1">
        <f t="array" ref="F23">GEOMEAN(1+AI23:AM23)-1</f>
        <v>9.2569509808555495E-2</v>
      </c>
      <c r="G23" s="46">
        <v>0.27148639945573538</v>
      </c>
      <c r="H23" s="46">
        <v>0.2756362824495498</v>
      </c>
      <c r="I23" s="46">
        <f t="shared" si="2"/>
        <v>0.10070960159905108</v>
      </c>
      <c r="J23" s="46">
        <f t="shared" si="1"/>
        <v>9.3953520868089321E-2</v>
      </c>
      <c r="K23" s="10">
        <v>0.45634927405193099</v>
      </c>
      <c r="L23" s="3">
        <v>-3.49228004880415E-2</v>
      </c>
      <c r="M23" s="3">
        <v>0.26126591604912702</v>
      </c>
      <c r="N23" s="3">
        <v>0.864044329703335</v>
      </c>
      <c r="O23" s="3">
        <v>8.8599367795541895E-2</v>
      </c>
      <c r="P23" s="3">
        <v>2.51379154051945E-2</v>
      </c>
      <c r="Q23" s="3">
        <v>-3.2690475011236203E-2</v>
      </c>
      <c r="R23" s="3">
        <v>0.63947208516451703</v>
      </c>
      <c r="S23" s="3">
        <v>0.263535396654968</v>
      </c>
      <c r="T23" s="3">
        <v>0.987348879672447</v>
      </c>
      <c r="U23" s="3">
        <v>0.21846635280280799</v>
      </c>
      <c r="V23" s="3">
        <v>0.198342906134331</v>
      </c>
      <c r="W23" s="3">
        <v>-0.466921686815715</v>
      </c>
      <c r="X23" s="3">
        <v>1.07501781971302</v>
      </c>
      <c r="Y23" s="3">
        <v>0.15135918324221501</v>
      </c>
      <c r="Z23" s="3">
        <v>5.0057877675279798E-2</v>
      </c>
      <c r="AA23" s="3">
        <v>0.184564153896071</v>
      </c>
      <c r="AB23" s="3">
        <v>-3.2186987939105703E-2</v>
      </c>
      <c r="AC23" s="3">
        <v>-8.2237016812363506E-2</v>
      </c>
      <c r="AD23" s="3">
        <v>-1.1177253988773599E-2</v>
      </c>
      <c r="AE23" s="3">
        <v>0.27074219650619902</v>
      </c>
      <c r="AF23" s="3">
        <v>0.43757594878151301</v>
      </c>
      <c r="AG23" s="3">
        <v>0.106614550916248</v>
      </c>
      <c r="AH23" s="3">
        <v>-8.7767732788019096E-2</v>
      </c>
      <c r="AI23" s="3">
        <v>0.81153825653701905</v>
      </c>
      <c r="AJ23" s="3">
        <v>-4.6958912321713897E-2</v>
      </c>
      <c r="AK23" s="3">
        <v>-0.20506841200141801</v>
      </c>
      <c r="AL23" s="3">
        <v>0.348825108381142</v>
      </c>
      <c r="AM23" s="6">
        <v>-0.15899059645206701</v>
      </c>
    </row>
    <row r="24" spans="1:39" ht="15" thickBot="1" x14ac:dyDescent="0.35">
      <c r="A24" s="25" t="s">
        <v>20</v>
      </c>
      <c r="B24" s="30" cm="1">
        <f t="array" ref="B24">GEOMEAN(1+K24:AM24)-1</f>
        <v>9.8527016342722984E-2</v>
      </c>
      <c r="C24" s="81" cm="1">
        <f t="array" ref="C24">GEOMEAN(1+M24:AM24)-1</f>
        <v>9.7218375581682448E-2</v>
      </c>
      <c r="D24" s="81" cm="1">
        <f t="array" ref="D24">GEOMEAN(1+O24:AM24)-1</f>
        <v>0.10159249317980845</v>
      </c>
      <c r="E24" s="81" cm="1">
        <f t="array" ref="E24">GEOMEAN(1+Y24:AM24)-1</f>
        <v>5.3841138258946986E-2</v>
      </c>
      <c r="F24" s="81" cm="1">
        <f t="array" ref="F24">GEOMEAN(1+AI24:AM24)-1</f>
        <v>6.104102849595483E-2</v>
      </c>
      <c r="G24" s="48">
        <v>0.22170584080491698</v>
      </c>
      <c r="H24" s="48">
        <v>0.22243116329304138</v>
      </c>
      <c r="I24" s="48">
        <f t="shared" si="2"/>
        <v>-0.18037855618932488</v>
      </c>
      <c r="J24" s="48">
        <f t="shared" si="1"/>
        <v>-0.18567371411784458</v>
      </c>
      <c r="K24" s="11">
        <v>0.42737088831911502</v>
      </c>
      <c r="L24" s="7">
        <v>-0.12690453263936</v>
      </c>
      <c r="M24" s="7">
        <v>-0.25766285475860901</v>
      </c>
      <c r="N24" s="7">
        <v>0.46820793217383899</v>
      </c>
      <c r="O24" s="7">
        <v>3.3827214632121697E-2</v>
      </c>
      <c r="P24" s="7">
        <v>2.06781563862126E-2</v>
      </c>
      <c r="Q24" s="7">
        <v>0.110669514785751</v>
      </c>
      <c r="R24" s="7">
        <v>0.80953216099526304</v>
      </c>
      <c r="S24" s="7">
        <v>0.31213889163470898</v>
      </c>
      <c r="T24" s="7">
        <v>0.31507340877775902</v>
      </c>
      <c r="U24" s="7">
        <v>0.26195057023011498</v>
      </c>
      <c r="V24" s="7">
        <v>1.12733591848353E-2</v>
      </c>
      <c r="W24" s="7">
        <v>-0.47064069209436799</v>
      </c>
      <c r="X24" s="7">
        <v>1.06927288797078</v>
      </c>
      <c r="Y24" s="7">
        <v>2.98636998785109E-2</v>
      </c>
      <c r="Z24" s="7">
        <v>-0.12740194701947699</v>
      </c>
      <c r="AA24" s="7">
        <v>7.8536895487120797E-2</v>
      </c>
      <c r="AB24" s="7">
        <v>-6.9478119391768497E-2</v>
      </c>
      <c r="AC24" s="7">
        <v>-5.8616712527268397E-2</v>
      </c>
      <c r="AD24" s="7">
        <v>-8.9259928255833398E-2</v>
      </c>
      <c r="AE24" s="7">
        <v>0.34680126648299597</v>
      </c>
      <c r="AF24" s="7">
        <v>0.30664218486269601</v>
      </c>
      <c r="AG24" s="7">
        <v>0.261076946020595</v>
      </c>
      <c r="AH24" s="7">
        <v>-4.8414015311122501E-2</v>
      </c>
      <c r="AI24" s="7">
        <v>0.79609027519094799</v>
      </c>
      <c r="AJ24" s="7">
        <v>-7.1873314800914703E-2</v>
      </c>
      <c r="AK24" s="7">
        <v>-0.364950353360734</v>
      </c>
      <c r="AL24" s="7">
        <v>0.28889605425995402</v>
      </c>
      <c r="AM24" s="8">
        <v>-1.4401817136312899E-2</v>
      </c>
    </row>
    <row r="25" spans="1:39" x14ac:dyDescent="0.3">
      <c r="A25" s="23" t="s">
        <v>21</v>
      </c>
      <c r="B25" s="27" cm="1">
        <f t="array" ref="B25">GEOMEAN(1+K25:AM25)-1</f>
        <v>0.20630710633934934</v>
      </c>
      <c r="C25" s="75" cm="1">
        <f t="array" ref="C25">GEOMEAN(1+M25:AM25)-1</f>
        <v>0.18430832965235644</v>
      </c>
      <c r="D25" s="75" cm="1">
        <f t="array" ref="D25">GEOMEAN(1+O25:AM25)-1</f>
        <v>0.16371735449627733</v>
      </c>
      <c r="E25" s="75" cm="1">
        <f t="array" ref="E25">GEOMEAN(1+Y25:AM25)-1</f>
        <v>2.0157257715354371E-2</v>
      </c>
      <c r="F25" s="75" cm="1">
        <f t="array" ref="F25">GEOMEAN(1+AI25:AM25)-1</f>
        <v>0.17282938753619059</v>
      </c>
      <c r="G25" s="45">
        <v>0.26478232625077325</v>
      </c>
      <c r="H25" s="45">
        <v>0.26594166267079511</v>
      </c>
      <c r="I25" s="45">
        <f t="shared" si="2"/>
        <v>0.25601826033242336</v>
      </c>
      <c r="J25" s="45">
        <f t="shared" si="1"/>
        <v>0.17218187397431342</v>
      </c>
      <c r="K25" s="9">
        <v>0.99696204693686097</v>
      </c>
      <c r="L25" s="4">
        <v>0.19773220400295799</v>
      </c>
      <c r="M25" s="4">
        <v>0.14451154187623499</v>
      </c>
      <c r="N25" s="4">
        <v>0.89994580017607695</v>
      </c>
      <c r="O25" s="4">
        <v>0.30668904980977102</v>
      </c>
      <c r="P25" s="4">
        <v>0.34716872365893803</v>
      </c>
      <c r="Q25" s="4">
        <v>0.76245516262505397</v>
      </c>
      <c r="R25" s="4">
        <v>0.93673996644554602</v>
      </c>
      <c r="S25" s="4">
        <v>0.451476231339553</v>
      </c>
      <c r="T25" s="4">
        <v>0.116858100088784</v>
      </c>
      <c r="U25" s="4">
        <v>0.64518052224618505</v>
      </c>
      <c r="V25" s="4">
        <v>0.19365360940387799</v>
      </c>
      <c r="W25" s="4">
        <v>-0.213354436263757</v>
      </c>
      <c r="X25" s="4">
        <v>1.18131500132777</v>
      </c>
      <c r="Y25" s="4">
        <v>0.133809581232576</v>
      </c>
      <c r="Z25" s="4">
        <v>0.18432495505113</v>
      </c>
      <c r="AA25" s="4">
        <v>-0.169289735749938</v>
      </c>
      <c r="AB25" s="4">
        <v>-7.2365889807025394E-2</v>
      </c>
      <c r="AC25" s="4">
        <v>-9.7249365133910207E-2</v>
      </c>
      <c r="AD25" s="4">
        <v>-0.39198438617229497</v>
      </c>
      <c r="AE25" s="4">
        <v>0.18833634554446901</v>
      </c>
      <c r="AF25" s="4">
        <v>6.6685050042877905E-2</v>
      </c>
      <c r="AG25" s="4">
        <v>3.7588199828702401E-2</v>
      </c>
      <c r="AH25" s="4">
        <v>-0.18621024182617599</v>
      </c>
      <c r="AI25" s="4">
        <v>1.4399550178734299</v>
      </c>
      <c r="AJ25" s="4">
        <v>5.9759110782093602E-2</v>
      </c>
      <c r="AK25" s="4">
        <v>-0.28020292005589698</v>
      </c>
      <c r="AL25" s="4">
        <v>0.35735737745930302</v>
      </c>
      <c r="AM25" s="5">
        <v>-0.121623050122634</v>
      </c>
    </row>
    <row r="26" spans="1:39" x14ac:dyDescent="0.3">
      <c r="A26" s="24" t="s">
        <v>22</v>
      </c>
      <c r="B26" s="28" cm="1">
        <f t="array" ref="B26">GEOMEAN(1+K26:AM26)-1</f>
        <v>0.26063541331851403</v>
      </c>
      <c r="C26" s="82" cm="1">
        <f t="array" ref="C26">GEOMEAN(1+M26:AM26)-1</f>
        <v>0.25576472696349217</v>
      </c>
      <c r="D26" s="80" cm="1">
        <f t="array" ref="D26">GEOMEAN(1+O26:AM26)-1</f>
        <v>0.24461307934112519</v>
      </c>
      <c r="E26" s="82" cm="1">
        <f t="array" ref="E26">GEOMEAN(1+Y26:AM26)-1</f>
        <v>0.15841632376198889</v>
      </c>
      <c r="F26" s="82" cm="1">
        <f t="array" ref="F26">GEOMEAN(1+AI26:AM26)-1</f>
        <v>0.22578264066176268</v>
      </c>
      <c r="G26" s="46">
        <v>0.22265549033619728</v>
      </c>
      <c r="H26" s="46">
        <v>0.22397901381369964</v>
      </c>
      <c r="I26" s="46">
        <f t="shared" si="2"/>
        <v>0.54845904463559092</v>
      </c>
      <c r="J26" s="46">
        <f t="shared" si="1"/>
        <v>0.52347195016744275</v>
      </c>
      <c r="K26" s="10">
        <v>0.68504887528338898</v>
      </c>
      <c r="L26" s="3">
        <v>4.70309602582131E-2</v>
      </c>
      <c r="M26" s="3">
        <v>-5.3614053957081298E-2</v>
      </c>
      <c r="N26" s="3">
        <v>1.08255396772334</v>
      </c>
      <c r="O26" s="3">
        <v>0.24492468276069501</v>
      </c>
      <c r="P26" s="3">
        <v>0.30600798646285998</v>
      </c>
      <c r="Q26" s="3">
        <v>0.71683940903393295</v>
      </c>
      <c r="R26" s="3">
        <v>0.65860441623427601</v>
      </c>
      <c r="S26" s="3">
        <v>0.32779183006712898</v>
      </c>
      <c r="T26" s="3">
        <v>0.21335061624644</v>
      </c>
      <c r="U26" s="3">
        <v>0.54044552680672597</v>
      </c>
      <c r="V26" s="3">
        <v>0.18842144360386801</v>
      </c>
      <c r="W26" s="3">
        <v>-0.206743439227872</v>
      </c>
      <c r="X26" s="3">
        <v>1.41646648972704</v>
      </c>
      <c r="Y26" s="3">
        <v>0.31916437870243097</v>
      </c>
      <c r="Z26" s="3">
        <v>0.28988989612399901</v>
      </c>
      <c r="AA26" s="3">
        <v>3.5418348958292697E-2</v>
      </c>
      <c r="AB26" s="3">
        <v>-0.18536113049415201</v>
      </c>
      <c r="AC26" s="3">
        <v>-0.10339128260323099</v>
      </c>
      <c r="AD26" s="3">
        <v>-0.20780311449084099</v>
      </c>
      <c r="AE26" s="3">
        <v>0.79443464284820198</v>
      </c>
      <c r="AF26" s="3">
        <v>0.64374471232811703</v>
      </c>
      <c r="AG26" s="3">
        <v>0.147615520985103</v>
      </c>
      <c r="AH26" s="3">
        <v>-4.94485219252212E-2</v>
      </c>
      <c r="AI26" s="3">
        <v>1.5932529674774201</v>
      </c>
      <c r="AJ26" s="3">
        <v>6.1023585519869299E-2</v>
      </c>
      <c r="AK26" s="3">
        <v>-0.23216133217875101</v>
      </c>
      <c r="AL26" s="3">
        <v>0.425179149085604</v>
      </c>
      <c r="AM26" s="6">
        <v>-8.0910143967326903E-2</v>
      </c>
    </row>
    <row r="27" spans="1:39" x14ac:dyDescent="0.3">
      <c r="A27" s="24" t="s">
        <v>23</v>
      </c>
      <c r="B27" s="29" cm="1">
        <f t="array" ref="B27">GEOMEAN(1+K27:AM27)-1</f>
        <v>0.25672052279680035</v>
      </c>
      <c r="C27" s="80" cm="1">
        <f t="array" ref="C27">GEOMEAN(1+M27:AM27)-1</f>
        <v>0.25358800975722962</v>
      </c>
      <c r="D27" s="82" cm="1">
        <f t="array" ref="D27">GEOMEAN(1+O27:AM27)-1</f>
        <v>0.24822184034732309</v>
      </c>
      <c r="E27" s="80" cm="1">
        <f t="array" ref="E27">GEOMEAN(1+Y27:AM27)-1</f>
        <v>0.13872761914274578</v>
      </c>
      <c r="F27" s="80" cm="1">
        <f t="array" ref="F27">GEOMEAN(1+AI27:AM27)-1</f>
        <v>0.18708327810518899</v>
      </c>
      <c r="G27" s="46">
        <v>0.20379571899727972</v>
      </c>
      <c r="H27" s="46">
        <v>0.20613125170265914</v>
      </c>
      <c r="I27" s="46">
        <f t="shared" si="2"/>
        <v>0.58000495580834022</v>
      </c>
      <c r="J27" s="46">
        <f t="shared" si="1"/>
        <v>0.5582366235148174</v>
      </c>
      <c r="K27" s="10">
        <v>0.63232114788673299</v>
      </c>
      <c r="L27" s="3">
        <v>3.4990843945031699E-2</v>
      </c>
      <c r="M27" s="3">
        <v>-8.5710257747449406E-2</v>
      </c>
      <c r="N27" s="3">
        <v>0.91338392129743695</v>
      </c>
      <c r="O27" s="3">
        <v>0.45645038728000298</v>
      </c>
      <c r="P27" s="3">
        <v>0.34880249786756501</v>
      </c>
      <c r="Q27" s="3">
        <v>0.39699659579178598</v>
      </c>
      <c r="R27" s="3">
        <v>1.17766786662805</v>
      </c>
      <c r="S27" s="3">
        <v>0.39634857038179699</v>
      </c>
      <c r="T27" s="3">
        <v>0.17828336745857101</v>
      </c>
      <c r="U27" s="3">
        <v>0.45162468078455098</v>
      </c>
      <c r="V27" s="3">
        <v>0.41649218585544101</v>
      </c>
      <c r="W27" s="3">
        <v>-0.18747000214189</v>
      </c>
      <c r="X27" s="3">
        <v>1.21520562843964</v>
      </c>
      <c r="Y27" s="3">
        <v>0.37919839174790398</v>
      </c>
      <c r="Z27" s="3">
        <v>0.23811149119128999</v>
      </c>
      <c r="AA27" s="3">
        <v>5.4830416408437896E-3</v>
      </c>
      <c r="AB27" s="3">
        <v>-0.167583088286379</v>
      </c>
      <c r="AC27" s="3">
        <v>-0.13737916874064199</v>
      </c>
      <c r="AD27" s="3">
        <v>-0.17601128004968999</v>
      </c>
      <c r="AE27" s="3">
        <v>0.616280114271479</v>
      </c>
      <c r="AF27" s="3">
        <v>0.54380698823211104</v>
      </c>
      <c r="AG27" s="3">
        <v>0.16580141539002899</v>
      </c>
      <c r="AH27" s="3">
        <v>7.6606937088352601E-3</v>
      </c>
      <c r="AI27" s="3">
        <v>1.2288103060691</v>
      </c>
      <c r="AJ27" s="3">
        <v>8.74826509132971E-2</v>
      </c>
      <c r="AK27" s="3">
        <v>-0.23403244522998601</v>
      </c>
      <c r="AL27" s="3">
        <v>0.34208365449082301</v>
      </c>
      <c r="AM27" s="6">
        <v>-5.3935968850073998E-2</v>
      </c>
    </row>
    <row r="28" spans="1:39" x14ac:dyDescent="0.3">
      <c r="A28" s="24" t="s">
        <v>24</v>
      </c>
      <c r="B28" s="29" cm="1">
        <f t="array" ref="B28">GEOMEAN(1+K28:AM28)-1</f>
        <v>0.25744892110259143</v>
      </c>
      <c r="C28" s="80" cm="1">
        <f t="array" ref="C28">GEOMEAN(1+M28:AM28)-1</f>
        <v>0.25569487413626657</v>
      </c>
      <c r="D28" s="80" cm="1">
        <f t="array" ref="D28">GEOMEAN(1+O28:AM28)-1</f>
        <v>0.24275259133126559</v>
      </c>
      <c r="E28" s="80" cm="1">
        <f t="array" ref="E28">GEOMEAN(1+Y28:AM28)-1</f>
        <v>0.13662979753253857</v>
      </c>
      <c r="F28" s="80" cm="1">
        <f t="array" ref="F28">GEOMEAN(1+AI28:AM28)-1</f>
        <v>0.2010399628727022</v>
      </c>
      <c r="G28" s="46">
        <v>0.19257056683177287</v>
      </c>
      <c r="H28" s="46">
        <v>0.1945516681388634</v>
      </c>
      <c r="I28" s="47">
        <f t="shared" si="2"/>
        <v>0.617596589413551</v>
      </c>
      <c r="J28" s="47">
        <f t="shared" si="1"/>
        <v>0.60229182022112526</v>
      </c>
      <c r="K28" s="10">
        <v>0.46827027459332699</v>
      </c>
      <c r="L28" s="3">
        <v>0.118260385021508</v>
      </c>
      <c r="M28" s="3">
        <v>-0.11602753968862201</v>
      </c>
      <c r="N28" s="3">
        <v>1.31108335082658</v>
      </c>
      <c r="O28" s="3">
        <v>0.32054452565012498</v>
      </c>
      <c r="P28" s="3">
        <v>0.27991116374953801</v>
      </c>
      <c r="Q28" s="3">
        <v>0.448377469130807</v>
      </c>
      <c r="R28" s="3">
        <v>1.1165700026263401</v>
      </c>
      <c r="S28" s="3">
        <v>0.39401663383183</v>
      </c>
      <c r="T28" s="3">
        <v>0.20024069711908399</v>
      </c>
      <c r="U28" s="3">
        <v>0.55730633557313303</v>
      </c>
      <c r="V28" s="3">
        <v>0.36714700030173397</v>
      </c>
      <c r="W28" s="3">
        <v>-0.18799814922004601</v>
      </c>
      <c r="X28" s="3">
        <v>1.236667954506</v>
      </c>
      <c r="Y28" s="3">
        <v>0.33906658236637399</v>
      </c>
      <c r="Z28" s="3">
        <v>0.238738792073898</v>
      </c>
      <c r="AA28" s="3">
        <v>3.9539914967885698E-2</v>
      </c>
      <c r="AB28" s="3">
        <v>-0.13966587220969801</v>
      </c>
      <c r="AC28" s="3">
        <v>-0.16995193299216199</v>
      </c>
      <c r="AD28" s="3">
        <v>-0.15581198041438499</v>
      </c>
      <c r="AE28" s="3">
        <v>0.59233452745356097</v>
      </c>
      <c r="AF28" s="3">
        <v>0.47965459346217199</v>
      </c>
      <c r="AG28" s="3">
        <v>0.13225821324294401</v>
      </c>
      <c r="AH28" s="3">
        <v>-1.47975778343258E-2</v>
      </c>
      <c r="AI28" s="3">
        <v>0.98541206857262698</v>
      </c>
      <c r="AJ28" s="3">
        <v>0.101509157899452</v>
      </c>
      <c r="AK28" s="3">
        <v>-0.14844023578103999</v>
      </c>
      <c r="AL28" s="3">
        <v>0.400633127336262</v>
      </c>
      <c r="AM28" s="6">
        <v>-4.1904072438820203E-2</v>
      </c>
    </row>
    <row r="29" spans="1:39" ht="15" thickBot="1" x14ac:dyDescent="0.35">
      <c r="A29" s="68" t="s">
        <v>25</v>
      </c>
      <c r="B29" s="69" cm="1">
        <f t="array" ref="B29">GEOMEAN(1+K29:AM29)-1</f>
        <v>0.2449608569215096</v>
      </c>
      <c r="C29" s="93" cm="1">
        <f t="array" ref="C29">GEOMEAN(1+M29:AM29)-1</f>
        <v>0.24458976625405282</v>
      </c>
      <c r="D29" s="93" cm="1">
        <f t="array" ref="D29">GEOMEAN(1+O29:AM29)-1</f>
        <v>0.22994548940899384</v>
      </c>
      <c r="E29" s="93" cm="1">
        <f t="array" ref="E29">GEOMEAN(1+Y29:AM29)-1</f>
        <v>0.12989931646282682</v>
      </c>
      <c r="F29" s="93" cm="1">
        <f t="array" ref="F29">GEOMEAN(1+AI29:AM29)-1</f>
        <v>0.18293996903210963</v>
      </c>
      <c r="G29" s="70">
        <v>0.18203533714177653</v>
      </c>
      <c r="H29" s="70">
        <v>0.18405575681862116</v>
      </c>
      <c r="I29" s="70">
        <f t="shared" si="2"/>
        <v>0.58473735257651294</v>
      </c>
      <c r="J29" s="70">
        <f t="shared" si="1"/>
        <v>0.57630237859241562</v>
      </c>
      <c r="K29" s="97">
        <v>0.45566030966364601</v>
      </c>
      <c r="L29" s="98">
        <v>7.3364128665523096E-2</v>
      </c>
      <c r="M29" s="98">
        <v>-4.4179630484899597E-2</v>
      </c>
      <c r="N29" s="98">
        <v>1.1786386659874</v>
      </c>
      <c r="O29" s="98">
        <v>0.24779806390248199</v>
      </c>
      <c r="P29" s="98">
        <v>0.25479470798381698</v>
      </c>
      <c r="Q29" s="98">
        <v>0.35536547865450102</v>
      </c>
      <c r="R29" s="98">
        <v>1.1900491192911899</v>
      </c>
      <c r="S29" s="98">
        <v>0.47564293244942502</v>
      </c>
      <c r="T29" s="98">
        <v>0.17231327729330301</v>
      </c>
      <c r="U29" s="98">
        <v>0.51629606829420005</v>
      </c>
      <c r="V29" s="98">
        <v>0.29040400791628301</v>
      </c>
      <c r="W29" s="98">
        <v>-0.21835404191295699</v>
      </c>
      <c r="X29" s="98">
        <v>1.30026774236328</v>
      </c>
      <c r="Y29" s="98">
        <v>0.28565611410555403</v>
      </c>
      <c r="Z29" s="98">
        <v>0.18499256769574199</v>
      </c>
      <c r="AA29" s="98">
        <v>0.15391795814092299</v>
      </c>
      <c r="AB29" s="98">
        <v>-2.7119496109261801E-2</v>
      </c>
      <c r="AC29" s="98">
        <v>-0.17650299761103799</v>
      </c>
      <c r="AD29" s="98">
        <v>-0.118898956325535</v>
      </c>
      <c r="AE29" s="98">
        <v>0.478387217679558</v>
      </c>
      <c r="AF29" s="98">
        <v>0.35755023901282401</v>
      </c>
      <c r="AG29" s="98">
        <v>0.103035086434888</v>
      </c>
      <c r="AH29" s="98">
        <v>-1.85083581939498E-2</v>
      </c>
      <c r="AI29" s="98">
        <v>0.88283651690776399</v>
      </c>
      <c r="AJ29" s="98">
        <v>0.115297362337627</v>
      </c>
      <c r="AK29" s="98">
        <v>-0.156078357713162</v>
      </c>
      <c r="AL29" s="98">
        <v>0.38427449606027198</v>
      </c>
      <c r="AM29" s="99">
        <v>-5.5752377763182301E-2</v>
      </c>
    </row>
    <row r="30" spans="1:39" x14ac:dyDescent="0.3">
      <c r="A30" s="23" t="s">
        <v>26</v>
      </c>
      <c r="B30" s="26" cm="1">
        <f t="array" ref="B30">GEOMEAN(1+K30:AM30)-1</f>
        <v>0.25956337479366254</v>
      </c>
      <c r="C30" s="12" cm="1">
        <f t="array" ref="C30">GEOMEAN(1+M30:AM30)-1</f>
        <v>0.25570417705886239</v>
      </c>
      <c r="D30" s="12" cm="1">
        <f t="array" ref="D30">GEOMEAN(1+O30:AM30)-1</f>
        <v>0.2472886976814519</v>
      </c>
      <c r="E30" s="12" cm="1">
        <f t="array" ref="E30">GEOMEAN(1+Y30:AM30)-1</f>
        <v>0.14124510139841173</v>
      </c>
      <c r="F30" s="12" cm="1">
        <f t="array" ref="F30">GEOMEAN(1+AI30:AM30)-1</f>
        <v>0.19924435150374231</v>
      </c>
      <c r="G30" s="45">
        <v>0.19206699715793482</v>
      </c>
      <c r="H30" s="45">
        <v>0.1929976651665577</v>
      </c>
      <c r="I30" s="49">
        <f t="shared" si="2"/>
        <v>0.63022476937187644</v>
      </c>
      <c r="J30" s="49">
        <f t="shared" si="1"/>
        <v>0.60718963181174268</v>
      </c>
      <c r="K30" s="9">
        <v>0.66527527265409003</v>
      </c>
      <c r="L30" s="4">
        <v>3.4990843945031699E-2</v>
      </c>
      <c r="M30" s="4">
        <v>-8.5710257747449406E-2</v>
      </c>
      <c r="N30" s="4">
        <v>1.0403263043914399</v>
      </c>
      <c r="O30" s="4">
        <v>0.41271533176641401</v>
      </c>
      <c r="P30" s="4">
        <v>0.34880249786756501</v>
      </c>
      <c r="Q30" s="4">
        <v>0.60743824339776298</v>
      </c>
      <c r="R30" s="4">
        <v>0.86931064948345305</v>
      </c>
      <c r="S30" s="4">
        <v>0.353157870112491</v>
      </c>
      <c r="T30" s="4">
        <v>0.17828336745857101</v>
      </c>
      <c r="U30" s="4">
        <v>0.460720549385843</v>
      </c>
      <c r="V30" s="4">
        <v>0.41462467251334301</v>
      </c>
      <c r="W30" s="4">
        <v>-0.20132711609880399</v>
      </c>
      <c r="X30" s="4">
        <v>1.2934879350455399</v>
      </c>
      <c r="Y30" s="4">
        <v>0.30843975508698301</v>
      </c>
      <c r="Z30" s="4">
        <v>0.211834346187036</v>
      </c>
      <c r="AA30" s="4">
        <v>0.146771812337879</v>
      </c>
      <c r="AB30" s="4">
        <v>-4.1528307809626699E-2</v>
      </c>
      <c r="AC30" s="4">
        <v>-0.18863806409237199</v>
      </c>
      <c r="AD30" s="4">
        <v>-9.9367665903059205E-2</v>
      </c>
      <c r="AE30" s="4">
        <v>0.54830967332052305</v>
      </c>
      <c r="AF30" s="4">
        <v>0.44801784847256598</v>
      </c>
      <c r="AG30" s="4">
        <v>0.101846531134532</v>
      </c>
      <c r="AH30" s="4">
        <v>-7.0226456028867706E-2</v>
      </c>
      <c r="AI30" s="4">
        <v>0.911113311436623</v>
      </c>
      <c r="AJ30" s="4">
        <v>9.9333134040204801E-2</v>
      </c>
      <c r="AK30" s="4">
        <v>-0.112733457156483</v>
      </c>
      <c r="AL30" s="4">
        <v>0.40540044071607501</v>
      </c>
      <c r="AM30" s="5">
        <v>-5.31777353976206E-2</v>
      </c>
    </row>
    <row r="31" spans="1:39" x14ac:dyDescent="0.3">
      <c r="A31" s="24" t="s">
        <v>27</v>
      </c>
      <c r="B31" s="29" cm="1">
        <f t="array" ref="B31">GEOMEAN(1+K31:AM31)-1</f>
        <v>0.24614553141631679</v>
      </c>
      <c r="C31" s="80" cm="1">
        <f t="array" ref="C31">GEOMEAN(1+M31:AM31)-1</f>
        <v>0.24565979621085354</v>
      </c>
      <c r="D31" s="80" cm="1">
        <f t="array" ref="D31">GEOMEAN(1+O31:AM31)-1</f>
        <v>0.21828738845868023</v>
      </c>
      <c r="E31" s="80" cm="1">
        <f t="array" ref="E31">GEOMEAN(1+Y31:AM31)-1</f>
        <v>0.1227712602793789</v>
      </c>
      <c r="F31" s="80" cm="1">
        <f t="array" ref="F31">GEOMEAN(1+AI31:AM31)-1</f>
        <v>0.1771200910403794</v>
      </c>
      <c r="G31" s="46">
        <v>0.19900067099555885</v>
      </c>
      <c r="H31" s="46">
        <v>0.19947476698570116</v>
      </c>
      <c r="I31" s="46">
        <f t="shared" si="2"/>
        <v>0.54084006386523453</v>
      </c>
      <c r="J31" s="46">
        <f t="shared" si="1"/>
        <v>0.537119566670202</v>
      </c>
      <c r="K31" s="10">
        <v>0.438581667375467</v>
      </c>
      <c r="L31" s="3">
        <v>9.08739179140481E-2</v>
      </c>
      <c r="M31" s="3">
        <v>4.7861049887424997E-2</v>
      </c>
      <c r="N31" s="3">
        <v>1.5807009437145401</v>
      </c>
      <c r="O31" s="3">
        <v>0.112871946200111</v>
      </c>
      <c r="P31" s="3">
        <v>0.20996817585615099</v>
      </c>
      <c r="Q31" s="3">
        <v>0.25930818810909301</v>
      </c>
      <c r="R31" s="3">
        <v>1.70652140714628</v>
      </c>
      <c r="S31" s="3">
        <v>0.59948465291529696</v>
      </c>
      <c r="T31" s="3">
        <v>0.16634559886970399</v>
      </c>
      <c r="U31" s="3">
        <v>0.58433174021953305</v>
      </c>
      <c r="V31" s="3">
        <v>5.3228639440056298E-2</v>
      </c>
      <c r="W31" s="3">
        <v>-0.23580870695213099</v>
      </c>
      <c r="X31" s="3">
        <v>1.2450890119145701</v>
      </c>
      <c r="Y31" s="3">
        <v>0.15598799702667199</v>
      </c>
      <c r="Z31" s="3">
        <v>0.16252780779630699</v>
      </c>
      <c r="AA31" s="3">
        <v>0.19449577398444801</v>
      </c>
      <c r="AB31" s="3">
        <v>-9.9122254688743403E-2</v>
      </c>
      <c r="AC31" s="3">
        <v>-7.9266360383377199E-2</v>
      </c>
      <c r="AD31" s="3">
        <v>-9.6790949413008906E-2</v>
      </c>
      <c r="AE31" s="3">
        <v>0.34948353440664198</v>
      </c>
      <c r="AF31" s="3">
        <v>0.14007597268355601</v>
      </c>
      <c r="AG31" s="3">
        <v>0.33301918482307102</v>
      </c>
      <c r="AH31" s="3">
        <v>1.9056409153351599E-2</v>
      </c>
      <c r="AI31" s="3">
        <v>0.79596362578527402</v>
      </c>
      <c r="AJ31" s="3">
        <v>8.1268788311687198E-2</v>
      </c>
      <c r="AK31" s="3">
        <v>-0.116790433356621</v>
      </c>
      <c r="AL31" s="3">
        <v>0.357367399482309</v>
      </c>
      <c r="AM31" s="6">
        <v>-2.92408804064196E-2</v>
      </c>
    </row>
    <row r="32" spans="1:39" x14ac:dyDescent="0.3">
      <c r="A32" s="24" t="s">
        <v>28</v>
      </c>
      <c r="B32" s="29" cm="1">
        <f t="array" ref="B32">GEOMEAN(1+K32:AM32)-1</f>
        <v>0.18450738369861552</v>
      </c>
      <c r="C32" s="80" cm="1">
        <f t="array" ref="C32">GEOMEAN(1+M32:AM32)-1</f>
        <v>0.19561110099128998</v>
      </c>
      <c r="D32" s="80" cm="1">
        <f t="array" ref="D32">GEOMEAN(1+O32:AM32)-1</f>
        <v>0.18530577108249013</v>
      </c>
      <c r="E32" s="80" cm="1">
        <f t="array" ref="E32">GEOMEAN(1+Y32:AM32)-1</f>
        <v>0.11502037155013323</v>
      </c>
      <c r="F32" s="80" cm="1">
        <f t="array" ref="F32">GEOMEAN(1+AI32:AM32)-1</f>
        <v>0.17876256416568581</v>
      </c>
      <c r="G32" s="46">
        <v>0.21665366564897515</v>
      </c>
      <c r="H32" s="46">
        <v>0.2179304000807879</v>
      </c>
      <c r="I32" s="46">
        <f t="shared" si="2"/>
        <v>0.21227145063529115</v>
      </c>
      <c r="J32" s="46">
        <f t="shared" si="1"/>
        <v>0.26197861869785516</v>
      </c>
      <c r="K32" s="10">
        <v>0.15730119279190899</v>
      </c>
      <c r="L32" s="3">
        <v>-5.7631741039784599E-2</v>
      </c>
      <c r="M32" s="3">
        <v>-7.83236922059206E-2</v>
      </c>
      <c r="N32" s="3">
        <v>0.925705844183903</v>
      </c>
      <c r="O32" s="3">
        <v>0.29277833186255198</v>
      </c>
      <c r="P32" s="3">
        <v>8.7436879475864898E-2</v>
      </c>
      <c r="Q32" s="3">
        <v>0.12564684621442301</v>
      </c>
      <c r="R32" s="3">
        <v>1.0199686535486101</v>
      </c>
      <c r="S32" s="3">
        <v>0.38600900667203097</v>
      </c>
      <c r="T32" s="3">
        <v>0.59431029061785001</v>
      </c>
      <c r="U32" s="3">
        <v>0.31931607104864601</v>
      </c>
      <c r="V32" s="3">
        <v>0.137340779915996</v>
      </c>
      <c r="W32" s="3">
        <v>-0.45759219855055799</v>
      </c>
      <c r="X32" s="3">
        <v>1.3819834412609799</v>
      </c>
      <c r="Y32" s="3">
        <v>0.287570266491677</v>
      </c>
      <c r="Z32" s="3">
        <v>2.0991265695429001E-2</v>
      </c>
      <c r="AA32" s="3">
        <v>0.128107284434825</v>
      </c>
      <c r="AB32" s="3">
        <v>-0.127325456723206</v>
      </c>
      <c r="AC32" s="3">
        <v>-6.1526293563794701E-2</v>
      </c>
      <c r="AD32" s="3">
        <v>-7.4163615409491304E-2</v>
      </c>
      <c r="AE32" s="3">
        <v>0.39331577269759099</v>
      </c>
      <c r="AF32" s="3">
        <v>0.422318619680563</v>
      </c>
      <c r="AG32" s="3">
        <v>9.4344638623905103E-2</v>
      </c>
      <c r="AH32" s="3">
        <v>-7.75182924666767E-2</v>
      </c>
      <c r="AI32" s="3">
        <v>0.69552149251606799</v>
      </c>
      <c r="AJ32" s="3">
        <v>4.5066709956959897E-2</v>
      </c>
      <c r="AK32" s="3">
        <v>-0.20696151241507901</v>
      </c>
      <c r="AL32" s="3">
        <v>0.47094337932851299</v>
      </c>
      <c r="AM32" s="6">
        <v>0.101017293153926</v>
      </c>
    </row>
    <row r="33" spans="1:39" x14ac:dyDescent="0.3">
      <c r="A33" s="24" t="s">
        <v>29</v>
      </c>
      <c r="B33" s="29" cm="1">
        <f t="array" ref="B33">GEOMEAN(1+K33:AM33)-1</f>
        <v>0.15387404207810884</v>
      </c>
      <c r="C33" s="80" cm="1">
        <f t="array" ref="C33">GEOMEAN(1+M33:AM33)-1</f>
        <v>0.14862467056439321</v>
      </c>
      <c r="D33" s="80" cm="1">
        <f t="array" ref="D33">GEOMEAN(1+O33:AM33)-1</f>
        <v>0.1223128880414015</v>
      </c>
      <c r="E33" s="80" cm="1">
        <f t="array" ref="E33">GEOMEAN(1+Y33:AM33)-1</f>
        <v>4.9708074542925029E-2</v>
      </c>
      <c r="F33" s="80" cm="1">
        <f t="array" ref="F33">GEOMEAN(1+AI33:AM33)-1</f>
        <v>6.5786659908047218E-2</v>
      </c>
      <c r="G33" s="46">
        <v>0.29636812723926864</v>
      </c>
      <c r="H33" s="46">
        <v>0.30071732561427966</v>
      </c>
      <c r="I33" s="46">
        <f t="shared" si="2"/>
        <v>5.1814094907233842E-2</v>
      </c>
      <c r="J33" s="46">
        <f t="shared" si="1"/>
        <v>3.3608554937411536E-2</v>
      </c>
      <c r="K33" s="10">
        <v>0.72088601608732905</v>
      </c>
      <c r="L33" s="3">
        <v>-0.12495212453349699</v>
      </c>
      <c r="M33" s="3">
        <v>0.42290928950800599</v>
      </c>
      <c r="N33" s="3">
        <v>0.65494593629451203</v>
      </c>
      <c r="O33" s="3">
        <v>0.184585459289132</v>
      </c>
      <c r="P33" s="3">
        <v>4.1093218075747701E-2</v>
      </c>
      <c r="Q33" s="3">
        <v>-8.6590891726964395E-2</v>
      </c>
      <c r="R33" s="3">
        <v>0.82751874801053404</v>
      </c>
      <c r="S33" s="3">
        <v>0.42115446010347501</v>
      </c>
      <c r="T33" s="3">
        <v>0.446485671530787</v>
      </c>
      <c r="U33" s="3">
        <v>0.379795833931242</v>
      </c>
      <c r="V33" s="3">
        <v>0.26597219843911302</v>
      </c>
      <c r="W33" s="3">
        <v>-0.40253311169755401</v>
      </c>
      <c r="X33" s="3">
        <v>0.95762378960851002</v>
      </c>
      <c r="Y33" s="3">
        <v>0.149460343188689</v>
      </c>
      <c r="Z33" s="3">
        <v>-6.9893505875301895E-2</v>
      </c>
      <c r="AA33" s="3">
        <v>0.104381635699428</v>
      </c>
      <c r="AB33" s="3">
        <v>-0.12338330219943799</v>
      </c>
      <c r="AC33" s="3">
        <v>-0.12071398355787499</v>
      </c>
      <c r="AD33" s="3">
        <v>-0.156872780146986</v>
      </c>
      <c r="AE33" s="3">
        <v>0.38090737327949797</v>
      </c>
      <c r="AF33" s="3">
        <v>0.254461561669309</v>
      </c>
      <c r="AG33" s="3">
        <v>0.14740193738785401</v>
      </c>
      <c r="AH33" s="3">
        <v>-1.2901888628028499E-2</v>
      </c>
      <c r="AI33" s="3">
        <v>0.88412327847187699</v>
      </c>
      <c r="AJ33" s="3">
        <v>-9.6151042846500598E-2</v>
      </c>
      <c r="AK33" s="3">
        <v>-0.26883053809887397</v>
      </c>
      <c r="AL33" s="3">
        <v>0.32219383441128402</v>
      </c>
      <c r="AM33" s="6">
        <v>-0.16471813675959701</v>
      </c>
    </row>
    <row r="34" spans="1:39" ht="15" thickBot="1" x14ac:dyDescent="0.35">
      <c r="A34" s="25" t="s">
        <v>30</v>
      </c>
      <c r="B34" s="30" cm="1">
        <f t="array" ref="B34">GEOMEAN(1+K34:AM34)-1</f>
        <v>9.1294808588441523E-2</v>
      </c>
      <c r="C34" s="81" cm="1">
        <f t="array" ref="C34">GEOMEAN(1+M34:AM34)-1</f>
        <v>9.4176821584675441E-2</v>
      </c>
      <c r="D34" s="81" cm="1">
        <f t="array" ref="D34">GEOMEAN(1+O34:AM34)-1</f>
        <v>9.2159716813842829E-2</v>
      </c>
      <c r="E34" s="81" cm="1">
        <f t="array" ref="E34">GEOMEAN(1+Y34:AM34)-1</f>
        <v>2.4409324176805525E-2</v>
      </c>
      <c r="F34" s="81" cm="1">
        <f t="array" ref="F34">GEOMEAN(1+AI34:AM34)-1</f>
        <v>1.3207187811213661E-2</v>
      </c>
      <c r="G34" s="48">
        <v>0.22926122125929549</v>
      </c>
      <c r="H34" s="48">
        <v>0.22993872617027977</v>
      </c>
      <c r="I34" s="48">
        <f t="shared" si="2"/>
        <v>-0.20597982928828185</v>
      </c>
      <c r="J34" s="48">
        <f t="shared" si="1"/>
        <v>-0.19283908787222812</v>
      </c>
      <c r="K34" s="11">
        <v>0.26223650887480698</v>
      </c>
      <c r="L34" s="7">
        <v>-0.121347677857988</v>
      </c>
      <c r="M34" s="7">
        <v>-0.26297689585903</v>
      </c>
      <c r="N34" s="7">
        <v>0.70109213514467705</v>
      </c>
      <c r="O34" s="7">
        <v>0.220919444956995</v>
      </c>
      <c r="P34" s="7">
        <v>-0.207578887982206</v>
      </c>
      <c r="Q34" s="7">
        <v>-8.0686198102767302E-3</v>
      </c>
      <c r="R34" s="7">
        <v>0.97235464951683703</v>
      </c>
      <c r="S34" s="7">
        <v>0.39543312615683601</v>
      </c>
      <c r="T34" s="7">
        <v>0.77034655473846803</v>
      </c>
      <c r="U34" s="7">
        <v>0.281898352244353</v>
      </c>
      <c r="V34" s="7">
        <v>-6.2605089349946894E-2</v>
      </c>
      <c r="W34" s="7">
        <v>-0.46593430190916502</v>
      </c>
      <c r="X34" s="7">
        <v>1.1028250309967</v>
      </c>
      <c r="Y34" s="7">
        <v>-4.0097901531993697E-2</v>
      </c>
      <c r="Z34" s="7">
        <v>-6.6102525882041394E-2</v>
      </c>
      <c r="AA34" s="7">
        <v>4.2513346127171198E-2</v>
      </c>
      <c r="AB34" s="7">
        <v>-5.2179606184139998E-2</v>
      </c>
      <c r="AC34" s="7">
        <v>-0.198042122926786</v>
      </c>
      <c r="AD34" s="7">
        <v>-3.6181990141937903E-2</v>
      </c>
      <c r="AE34" s="7">
        <v>0.37739526074693303</v>
      </c>
      <c r="AF34" s="7">
        <v>0.24867359327468699</v>
      </c>
      <c r="AG34" s="7">
        <v>0.14515227310057799</v>
      </c>
      <c r="AH34" s="7">
        <v>-2.8502820126007399E-3</v>
      </c>
      <c r="AI34" s="7">
        <v>0.630803112812933</v>
      </c>
      <c r="AJ34" s="7">
        <v>-0.18513420935137401</v>
      </c>
      <c r="AK34" s="7">
        <v>-0.34309114714364802</v>
      </c>
      <c r="AL34" s="7">
        <v>0.34164760434429398</v>
      </c>
      <c r="AM34" s="8">
        <v>-8.8282861923990597E-2</v>
      </c>
    </row>
    <row r="35" spans="1:39" x14ac:dyDescent="0.3">
      <c r="A35" s="23" t="s">
        <v>31</v>
      </c>
      <c r="B35" s="26" cm="1">
        <f t="array" ref="B35">GEOMEAN(1+K35:AM35)-1</f>
        <v>0.33202352616834463</v>
      </c>
      <c r="C35" s="75" cm="1">
        <f t="array" ref="C35">GEOMEAN(1+M35:AM35)-1</f>
        <v>0.25362503000802405</v>
      </c>
      <c r="D35" s="12" cm="1">
        <f t="array" ref="D35">GEOMEAN(1+O35:AM35)-1</f>
        <v>0.24740059522287039</v>
      </c>
      <c r="E35" s="75" cm="1">
        <f t="array" ref="E35">GEOMEAN(1+Y35:AM35)-1</f>
        <v>0.12038265608081455</v>
      </c>
      <c r="F35" s="75" cm="1">
        <f t="array" ref="F35">GEOMEAN(1+AI35:AM35)-1</f>
        <v>0.14067475204842261</v>
      </c>
      <c r="G35" s="45">
        <v>0.2923651491185838</v>
      </c>
      <c r="H35" s="45">
        <v>0.27802422603768029</v>
      </c>
      <c r="I35" s="45">
        <f t="shared" si="2"/>
        <v>0.66186250634135679</v>
      </c>
      <c r="J35" s="45">
        <f t="shared" si="1"/>
        <v>0.41401800067081029</v>
      </c>
      <c r="K35" s="9">
        <v>0.88998250525959099</v>
      </c>
      <c r="L35" s="4">
        <v>3.8290366909836102</v>
      </c>
      <c r="M35" s="4">
        <v>-0.17467750928936099</v>
      </c>
      <c r="N35" s="4">
        <v>1.15652413758964</v>
      </c>
      <c r="O35" s="4">
        <v>0.41162761262173803</v>
      </c>
      <c r="P35" s="4">
        <v>0.27973702938712097</v>
      </c>
      <c r="Q35" s="4">
        <v>0.47406601367906198</v>
      </c>
      <c r="R35" s="4">
        <v>0.77899876106319299</v>
      </c>
      <c r="S35" s="4">
        <v>0.70306549667266105</v>
      </c>
      <c r="T35" s="4">
        <v>0.28736598321916401</v>
      </c>
      <c r="U35" s="4">
        <v>0.64518052224618505</v>
      </c>
      <c r="V35" s="4">
        <v>0.305890037634936</v>
      </c>
      <c r="W35" s="4">
        <v>-0.15562266578612899</v>
      </c>
      <c r="X35" s="4">
        <v>1.42398228349059</v>
      </c>
      <c r="Y35" s="4">
        <v>0.325880817342804</v>
      </c>
      <c r="Z35" s="4">
        <v>0.279732005111407</v>
      </c>
      <c r="AA35" s="4">
        <v>0.21808681996958801</v>
      </c>
      <c r="AB35" s="4">
        <v>-0.113091472250357</v>
      </c>
      <c r="AC35" s="4">
        <v>-3.0415948967814899E-2</v>
      </c>
      <c r="AD35" s="4">
        <v>5.3485376898592098E-2</v>
      </c>
      <c r="AE35" s="4">
        <v>0.35188029144456101</v>
      </c>
      <c r="AF35" s="4">
        <v>0.31293535911320702</v>
      </c>
      <c r="AG35" s="4">
        <v>0.254388896802</v>
      </c>
      <c r="AH35" s="4">
        <v>-0.316594983513038</v>
      </c>
      <c r="AI35" s="4">
        <v>1.51899859392653</v>
      </c>
      <c r="AJ35" s="4">
        <v>-3.8197311131447198E-2</v>
      </c>
      <c r="AK35" s="4">
        <v>-0.21895664164068299</v>
      </c>
      <c r="AL35" s="4">
        <v>0.25154101362750397</v>
      </c>
      <c r="AM35" s="5">
        <v>-0.184591935212678</v>
      </c>
    </row>
    <row r="36" spans="1:39" x14ac:dyDescent="0.3">
      <c r="A36" s="24" t="s">
        <v>32</v>
      </c>
      <c r="B36" s="29" cm="1">
        <f t="array" ref="B36">GEOMEAN(1+K36:AM36)-1</f>
        <v>0.30181728707737832</v>
      </c>
      <c r="C36" s="80" cm="1">
        <f t="array" ref="C36">GEOMEAN(1+M36:AM36)-1</f>
        <v>0.24954114919833192</v>
      </c>
      <c r="D36" s="80" cm="1">
        <f t="array" ref="D36">GEOMEAN(1+O36:AM36)-1</f>
        <v>0.22253301222627297</v>
      </c>
      <c r="E36" s="80" cm="1">
        <f t="array" ref="E36">GEOMEAN(1+Y36:AM36)-1</f>
        <v>0.11237236282947394</v>
      </c>
      <c r="F36" s="82" cm="1">
        <f t="array" ref="F36">GEOMEAN(1+AI36:AM36)-1</f>
        <v>0.2272696949725963</v>
      </c>
      <c r="G36" s="46">
        <v>0.23616325884914546</v>
      </c>
      <c r="H36" s="46">
        <v>0.2284735772105641</v>
      </c>
      <c r="I36" s="46">
        <f t="shared" si="2"/>
        <v>0.69146780946072206</v>
      </c>
      <c r="J36" s="46">
        <f t="shared" si="1"/>
        <v>0.485934324432437</v>
      </c>
      <c r="K36" s="10">
        <v>0.70740011811300096</v>
      </c>
      <c r="L36" s="3">
        <v>2.0015839664989601</v>
      </c>
      <c r="M36" s="3">
        <v>-5.1998044838988601E-2</v>
      </c>
      <c r="N36" s="3">
        <v>1.8440752085685099</v>
      </c>
      <c r="O36" s="3">
        <v>0.185826063725435</v>
      </c>
      <c r="P36" s="3">
        <v>0.41626120355873503</v>
      </c>
      <c r="Q36" s="3">
        <v>0.40242646801195597</v>
      </c>
      <c r="R36" s="3">
        <v>0.67847787314167995</v>
      </c>
      <c r="S36" s="3">
        <v>0.52619807286025799</v>
      </c>
      <c r="T36" s="3">
        <v>0.26446214284192299</v>
      </c>
      <c r="U36" s="3">
        <v>0.68967704823566001</v>
      </c>
      <c r="V36" s="3">
        <v>0.309490887002357</v>
      </c>
      <c r="W36" s="3">
        <v>-0.182213953164683</v>
      </c>
      <c r="X36" s="3">
        <v>1.2270980884979099</v>
      </c>
      <c r="Y36" s="3">
        <v>0.36052944476467602</v>
      </c>
      <c r="Z36" s="3">
        <v>0.14790330387322001</v>
      </c>
      <c r="AA36" s="3">
        <v>-3.0020371591522699E-2</v>
      </c>
      <c r="AB36" s="3">
        <v>-0.12576541273556999</v>
      </c>
      <c r="AC36" s="3">
        <v>-0.206243027870392</v>
      </c>
      <c r="AD36" s="3">
        <v>-7.0143193338465498E-2</v>
      </c>
      <c r="AE36" s="3">
        <v>0.56340026864159598</v>
      </c>
      <c r="AF36" s="3">
        <v>0.24627649231148499</v>
      </c>
      <c r="AG36" s="3">
        <v>0.159640642701392</v>
      </c>
      <c r="AH36" s="3">
        <v>-0.19658985549843699</v>
      </c>
      <c r="AI36" s="3">
        <v>1.4372038746648901</v>
      </c>
      <c r="AJ36" s="3">
        <v>6.4230853825696793E-2</v>
      </c>
      <c r="AK36" s="3">
        <v>-0.18568665810862101</v>
      </c>
      <c r="AL36" s="3">
        <v>0.31638079980320799</v>
      </c>
      <c r="AM36" s="6">
        <v>1.38079090836474E-3</v>
      </c>
    </row>
    <row r="37" spans="1:39" x14ac:dyDescent="0.3">
      <c r="A37" s="24" t="s">
        <v>33</v>
      </c>
      <c r="B37" s="29" cm="1">
        <f t="array" ref="B37">GEOMEAN(1+K37:AM37)-1</f>
        <v>0.28208775765328142</v>
      </c>
      <c r="C37" s="80" cm="1">
        <f t="array" ref="C37">GEOMEAN(1+M37:AM37)-1</f>
        <v>0.24018573334856175</v>
      </c>
      <c r="D37" s="80" cm="1">
        <f t="array" ref="D37">GEOMEAN(1+O37:AM37)-1</f>
        <v>0.21446011439414137</v>
      </c>
      <c r="E37" s="80" cm="1">
        <f t="array" ref="E37">GEOMEAN(1+Y37:AM37)-1</f>
        <v>0.11708797114221192</v>
      </c>
      <c r="F37" s="80" cm="1">
        <f t="array" ref="F37">GEOMEAN(1+AI37:AM37)-1</f>
        <v>0.19219934196956778</v>
      </c>
      <c r="G37" s="46">
        <v>0.21485278609047306</v>
      </c>
      <c r="H37" s="46">
        <v>0.21062064073461562</v>
      </c>
      <c r="I37" s="46">
        <f t="shared" si="2"/>
        <v>0.66822387765998503</v>
      </c>
      <c r="J37" s="46">
        <f t="shared" si="1"/>
        <v>0.4827054802801119</v>
      </c>
      <c r="K37" s="10">
        <v>0.78279774308232397</v>
      </c>
      <c r="L37" s="3">
        <v>1.26136689036181</v>
      </c>
      <c r="M37" s="3">
        <v>4.0197407336541903E-2</v>
      </c>
      <c r="N37" s="3">
        <v>1.4971496392899399</v>
      </c>
      <c r="O37" s="3">
        <v>0.166831321701845</v>
      </c>
      <c r="P37" s="3">
        <v>0.24444917653708301</v>
      </c>
      <c r="Q37" s="3">
        <v>0.43950072525389799</v>
      </c>
      <c r="R37" s="3">
        <v>0.64712599431442697</v>
      </c>
      <c r="S37" s="3">
        <v>0.49154730149998299</v>
      </c>
      <c r="T37" s="3">
        <v>0.23899882859249699</v>
      </c>
      <c r="U37" s="3">
        <v>0.55222892372111398</v>
      </c>
      <c r="V37" s="3">
        <v>0.28539703761610202</v>
      </c>
      <c r="W37" s="3">
        <v>-0.16591283750731101</v>
      </c>
      <c r="X37" s="3">
        <v>1.3090556080848399</v>
      </c>
      <c r="Y37" s="3">
        <v>0.467947104281285</v>
      </c>
      <c r="Z37" s="3">
        <v>8.7728835480009398E-2</v>
      </c>
      <c r="AA37" s="3">
        <v>-2.3238870230724001E-3</v>
      </c>
      <c r="AB37" s="3">
        <v>-0.15421738863620399</v>
      </c>
      <c r="AC37" s="3">
        <v>-0.20642016455647999</v>
      </c>
      <c r="AD37" s="3">
        <v>-7.7038212994187796E-2</v>
      </c>
      <c r="AE37" s="3">
        <v>0.51680648236190496</v>
      </c>
      <c r="AF37" s="3">
        <v>0.200836949805692</v>
      </c>
      <c r="AG37" s="3">
        <v>0.17152921916897801</v>
      </c>
      <c r="AH37" s="3">
        <v>3.7875304467116497E-2</v>
      </c>
      <c r="AI37" s="3">
        <v>1.4970016576362899</v>
      </c>
      <c r="AJ37" s="3">
        <v>6.7509769485031498E-2</v>
      </c>
      <c r="AK37" s="3">
        <v>-0.25705201786625298</v>
      </c>
      <c r="AL37" s="3">
        <v>0.28203947972955201</v>
      </c>
      <c r="AM37" s="6">
        <v>-5.1376469009664402E-2</v>
      </c>
    </row>
    <row r="38" spans="1:39" x14ac:dyDescent="0.3">
      <c r="A38" s="24" t="s">
        <v>34</v>
      </c>
      <c r="B38" s="29" cm="1">
        <f t="array" ref="B38">GEOMEAN(1+K38:AM38)-1</f>
        <v>0.28194022453914847</v>
      </c>
      <c r="C38" s="80" cm="1">
        <f t="array" ref="C38">GEOMEAN(1+M38:AM38)-1</f>
        <v>0.2483459052567154</v>
      </c>
      <c r="D38" s="80" cm="1">
        <f t="array" ref="D38">GEOMEAN(1+O38:AM38)-1</f>
        <v>0.22530202503662289</v>
      </c>
      <c r="E38" s="80" cm="1">
        <f t="array" ref="E38">GEOMEAN(1+Y38:AM38)-1</f>
        <v>0.12436119292062542</v>
      </c>
      <c r="F38" s="80" cm="1">
        <f t="array" ref="F38">GEOMEAN(1+AI38:AM38)-1</f>
        <v>0.18550242672076944</v>
      </c>
      <c r="G38" s="46">
        <v>0.20113629696414012</v>
      </c>
      <c r="H38" s="46">
        <v>0.19921839606934549</v>
      </c>
      <c r="I38" s="46">
        <f t="shared" si="2"/>
        <v>0.71305990464199753</v>
      </c>
      <c r="J38" s="46">
        <f t="shared" si="1"/>
        <v>0.55129401510004838</v>
      </c>
      <c r="K38" s="10">
        <v>0.72570151096233804</v>
      </c>
      <c r="L38" s="3">
        <v>0.950546852079039</v>
      </c>
      <c r="M38" s="3">
        <v>-4.5695565719567899E-3</v>
      </c>
      <c r="N38" s="3">
        <v>1.49432884075098</v>
      </c>
      <c r="O38" s="3">
        <v>0.194821934948845</v>
      </c>
      <c r="P38" s="3">
        <v>0.367843016203244</v>
      </c>
      <c r="Q38" s="3">
        <v>0.42610557233380097</v>
      </c>
      <c r="R38" s="3">
        <v>0.79918653277420104</v>
      </c>
      <c r="S38" s="3">
        <v>0.50005823788039705</v>
      </c>
      <c r="T38" s="3">
        <v>0.20717790414392101</v>
      </c>
      <c r="U38" s="3">
        <v>0.49957630674528097</v>
      </c>
      <c r="V38" s="3">
        <v>0.28149432796894702</v>
      </c>
      <c r="W38" s="3">
        <v>-0.18364196061702001</v>
      </c>
      <c r="X38" s="3">
        <v>1.32529696270136</v>
      </c>
      <c r="Y38" s="3">
        <v>0.442848874799327</v>
      </c>
      <c r="Z38" s="3">
        <v>0.19008525679362201</v>
      </c>
      <c r="AA38" s="3">
        <v>6.19494135161818E-2</v>
      </c>
      <c r="AB38" s="3">
        <v>-0.129400560661902</v>
      </c>
      <c r="AC38" s="3">
        <v>-0.22278266522066201</v>
      </c>
      <c r="AD38" s="3">
        <v>-8.8265914093587097E-2</v>
      </c>
      <c r="AE38" s="3">
        <v>0.51165686857259596</v>
      </c>
      <c r="AF38" s="3">
        <v>0.20197442468742899</v>
      </c>
      <c r="AG38" s="3">
        <v>0.21702597894526601</v>
      </c>
      <c r="AH38" s="3">
        <v>-3.9173455207307502E-3</v>
      </c>
      <c r="AI38" s="3">
        <v>1.16928434903689</v>
      </c>
      <c r="AJ38" s="3">
        <v>8.7629372228883506E-2</v>
      </c>
      <c r="AK38" s="3">
        <v>-0.16010491228841001</v>
      </c>
      <c r="AL38" s="3">
        <v>0.26148192996473002</v>
      </c>
      <c r="AM38" s="6">
        <v>-6.3282247310260303E-2</v>
      </c>
    </row>
    <row r="39" spans="1:39" ht="15" thickBot="1" x14ac:dyDescent="0.35">
      <c r="A39" s="68" t="s">
        <v>35</v>
      </c>
      <c r="B39" s="69" cm="1">
        <f t="array" ref="B39">GEOMEAN(1+K39:AM39)-1</f>
        <v>0.27827949049020817</v>
      </c>
      <c r="C39" s="76" cm="1">
        <f t="array" ref="C39">GEOMEAN(1+M39:AM39)-1</f>
        <v>0.25473509661025417</v>
      </c>
      <c r="D39" s="93" cm="1">
        <f t="array" ref="D39">GEOMEAN(1+O39:AM39)-1</f>
        <v>0.23676245835636989</v>
      </c>
      <c r="E39" s="76" cm="1">
        <f t="array" ref="E39">GEOMEAN(1+Y39:AM39)-1</f>
        <v>0.1348004442863473</v>
      </c>
      <c r="F39" s="93" cm="1">
        <f t="array" ref="F39">GEOMEAN(1+AI39:AM39)-1</f>
        <v>0.20354635427655565</v>
      </c>
      <c r="G39" s="70">
        <v>0.19317298823838214</v>
      </c>
      <c r="H39" s="70">
        <v>0.19307940674873086</v>
      </c>
      <c r="I39" s="96">
        <f t="shared" si="2"/>
        <v>0.72350433649596724</v>
      </c>
      <c r="J39" s="96">
        <f t="shared" si="1"/>
        <v>0.60191349642814185</v>
      </c>
      <c r="K39" s="97">
        <v>0.682131772705034</v>
      </c>
      <c r="L39" s="98">
        <v>0.60466193579931304</v>
      </c>
      <c r="M39" s="98">
        <v>2.15150246245168E-2</v>
      </c>
      <c r="N39" s="98">
        <v>1.2105642162458099</v>
      </c>
      <c r="O39" s="98">
        <v>0.23013930469031799</v>
      </c>
      <c r="P39" s="98">
        <v>0.36533176993183503</v>
      </c>
      <c r="Q39" s="98">
        <v>0.30856070593148699</v>
      </c>
      <c r="R39" s="98">
        <v>0.921793760684395</v>
      </c>
      <c r="S39" s="98">
        <v>0.49233237478727299</v>
      </c>
      <c r="T39" s="98">
        <v>0.34231133041999301</v>
      </c>
      <c r="U39" s="98">
        <v>0.53712144186598998</v>
      </c>
      <c r="V39" s="98">
        <v>0.27498866952099998</v>
      </c>
      <c r="W39" s="98">
        <v>-0.188531881465378</v>
      </c>
      <c r="X39" s="98">
        <v>1.2618664549245899</v>
      </c>
      <c r="Y39" s="98">
        <v>0.366679034359639</v>
      </c>
      <c r="Z39" s="98">
        <v>0.20114509129782401</v>
      </c>
      <c r="AA39" s="98">
        <v>0.17758071832387701</v>
      </c>
      <c r="AB39" s="98">
        <v>-9.6210757284128506E-2</v>
      </c>
      <c r="AC39" s="98">
        <v>-0.210394541090305</v>
      </c>
      <c r="AD39" s="98">
        <v>-0.107030375780914</v>
      </c>
      <c r="AE39" s="98">
        <v>0.52557950845885204</v>
      </c>
      <c r="AF39" s="98">
        <v>0.16239259000108799</v>
      </c>
      <c r="AG39" s="98">
        <v>0.23221600790812899</v>
      </c>
      <c r="AH39" s="98">
        <v>-1.9523614544164E-2</v>
      </c>
      <c r="AI39" s="98">
        <v>1.1050820545669999</v>
      </c>
      <c r="AJ39" s="98">
        <v>0.136191826484825</v>
      </c>
      <c r="AK39" s="98">
        <v>-0.14019706967866399</v>
      </c>
      <c r="AL39" s="98">
        <v>0.30107256962687601</v>
      </c>
      <c r="AM39" s="99">
        <v>-5.6171739672096398E-2</v>
      </c>
    </row>
    <row r="40" spans="1:39" x14ac:dyDescent="0.3">
      <c r="A40" s="23" t="s">
        <v>36</v>
      </c>
      <c r="B40" s="26" cm="1">
        <f t="array" ref="B40">GEOMEAN(1+K40:AM40)-1</f>
        <v>0.28811982861895991</v>
      </c>
      <c r="C40" s="12" cm="1">
        <f t="array" ref="C40">GEOMEAN(1+M40:AM40)-1</f>
        <v>0.25094237007563458</v>
      </c>
      <c r="D40" s="12" cm="1">
        <f t="array" ref="D40">GEOMEAN(1+O40:AM40)-1</f>
        <v>0.22053077834286139</v>
      </c>
      <c r="E40" s="12" cm="1">
        <f t="array" ref="E40">GEOMEAN(1+Y40:AM40)-1</f>
        <v>0.12585242315826561</v>
      </c>
      <c r="F40" s="75" cm="1">
        <f t="array" ref="F40">GEOMEAN(1+AI40:AM40)-1</f>
        <v>0.18698808507563069</v>
      </c>
      <c r="G40" s="45">
        <v>0.2052295776096352</v>
      </c>
      <c r="H40" s="45">
        <v>0.20163091540845404</v>
      </c>
      <c r="I40" s="49">
        <f t="shared" si="2"/>
        <v>0.72894869519081507</v>
      </c>
      <c r="J40" s="49">
        <f t="shared" si="1"/>
        <v>0.55757508238276143</v>
      </c>
      <c r="K40" s="9">
        <v>0.783289062492738</v>
      </c>
      <c r="L40" s="4">
        <v>1.0516476963365899</v>
      </c>
      <c r="M40" s="4">
        <v>1.7999823953844099E-2</v>
      </c>
      <c r="N40" s="4">
        <v>1.8440752085685099</v>
      </c>
      <c r="O40" s="4">
        <v>0.16301631738141101</v>
      </c>
      <c r="P40" s="4">
        <v>0.24444917653708301</v>
      </c>
      <c r="Q40" s="4">
        <v>0.460459406645853</v>
      </c>
      <c r="R40" s="4">
        <v>0.67847787314167995</v>
      </c>
      <c r="S40" s="4">
        <v>0.47720074317963901</v>
      </c>
      <c r="T40" s="4">
        <v>0.23899882859249699</v>
      </c>
      <c r="U40" s="4">
        <v>0.56421208370810005</v>
      </c>
      <c r="V40" s="4">
        <v>0.33173503595388598</v>
      </c>
      <c r="W40" s="4">
        <v>-0.19218863677864201</v>
      </c>
      <c r="X40" s="4">
        <v>1.2542105050685199</v>
      </c>
      <c r="Y40" s="4">
        <v>0.384763786878353</v>
      </c>
      <c r="Z40" s="4">
        <v>0.19548216443496499</v>
      </c>
      <c r="AA40" s="4">
        <v>0.129756139462468</v>
      </c>
      <c r="AB40" s="4">
        <v>-0.128992034155793</v>
      </c>
      <c r="AC40" s="4">
        <v>-0.19992092976602999</v>
      </c>
      <c r="AD40" s="4">
        <v>-9.4191463832071096E-2</v>
      </c>
      <c r="AE40" s="4">
        <v>0.50684273743902797</v>
      </c>
      <c r="AF40" s="4">
        <v>0.19781462787776499</v>
      </c>
      <c r="AG40" s="4">
        <v>0.20810088303243501</v>
      </c>
      <c r="AH40" s="4">
        <v>-2.4259104902377801E-2</v>
      </c>
      <c r="AI40" s="4">
        <v>0.99210956040250597</v>
      </c>
      <c r="AJ40" s="4">
        <v>0.11362487060836</v>
      </c>
      <c r="AK40" s="4">
        <v>-0.13852003020130499</v>
      </c>
      <c r="AL40" s="4">
        <v>0.30889386453107398</v>
      </c>
      <c r="AM40" s="5">
        <v>-5.8045250055087198E-2</v>
      </c>
    </row>
    <row r="41" spans="1:39" x14ac:dyDescent="0.3">
      <c r="A41" s="24" t="s">
        <v>37</v>
      </c>
      <c r="B41" s="29" cm="1">
        <f t="array" ref="B41">GEOMEAN(1+K41:AM41)-1</f>
        <v>0.22850301689015562</v>
      </c>
      <c r="C41" s="80" cm="1">
        <f t="array" ref="C41">GEOMEAN(1+M41:AM41)-1</f>
        <v>0.23148542382640369</v>
      </c>
      <c r="D41" s="80" cm="1">
        <f t="array" ref="D41">GEOMEAN(1+O41:AM41)-1</f>
        <v>0.21976128139611362</v>
      </c>
      <c r="E41" s="80" cm="1">
        <f t="array" ref="E41">GEOMEAN(1+Y41:AM41)-1</f>
        <v>0.12136252911950263</v>
      </c>
      <c r="F41" s="82" cm="1">
        <f t="array" ref="F41">GEOMEAN(1+AI41:AM41)-1</f>
        <v>0.20800143347677746</v>
      </c>
      <c r="G41" s="46">
        <v>0.20444068591849268</v>
      </c>
      <c r="H41" s="46">
        <v>0.20651292836155347</v>
      </c>
      <c r="I41" s="46">
        <f t="shared" si="2"/>
        <v>0.440152216668736</v>
      </c>
      <c r="J41" s="46">
        <f t="shared" si="1"/>
        <v>0.45017727828538812</v>
      </c>
      <c r="K41" s="10">
        <v>0.59391668733221703</v>
      </c>
      <c r="L41" s="3">
        <v>-0.11314109938238601</v>
      </c>
      <c r="M41" s="3">
        <v>1.2778390605226101E-2</v>
      </c>
      <c r="N41" s="3">
        <v>0.90197555821248399</v>
      </c>
      <c r="O41" s="3">
        <v>0.25411730249916198</v>
      </c>
      <c r="P41" s="3">
        <v>0.39272252966802201</v>
      </c>
      <c r="Q41" s="3">
        <v>0.26888085891074098</v>
      </c>
      <c r="R41" s="3">
        <v>1.1820490148718601</v>
      </c>
      <c r="S41" s="3">
        <v>0.53116318013382902</v>
      </c>
      <c r="T41" s="3">
        <v>0.44466150041941699</v>
      </c>
      <c r="U41" s="3">
        <v>0.50638268222646099</v>
      </c>
      <c r="V41" s="3">
        <v>8.0707031196157297E-2</v>
      </c>
      <c r="W41" s="3">
        <v>-0.234145789533937</v>
      </c>
      <c r="X41" s="3">
        <v>0.93025821757612703</v>
      </c>
      <c r="Y41" s="3">
        <v>0.19255350217251699</v>
      </c>
      <c r="Z41" s="3">
        <v>5.5454578748390201E-2</v>
      </c>
      <c r="AA41" s="3">
        <v>0.13152063279912299</v>
      </c>
      <c r="AB41" s="3">
        <v>-2.4075538512314702E-2</v>
      </c>
      <c r="AC41" s="3">
        <v>-4.1884444504128197E-2</v>
      </c>
      <c r="AD41" s="3">
        <v>-6.3267658073986405E-2</v>
      </c>
      <c r="AE41" s="3">
        <v>0.36499921350794401</v>
      </c>
      <c r="AF41" s="3">
        <v>0.11553678839056999</v>
      </c>
      <c r="AG41" s="3">
        <v>0.19818492248516401</v>
      </c>
      <c r="AH41" s="3">
        <v>-4.78975276167476E-2</v>
      </c>
      <c r="AI41" s="3">
        <v>0.82493528003141003</v>
      </c>
      <c r="AJ41" s="3">
        <v>4.8998073025333898E-2</v>
      </c>
      <c r="AK41" s="3">
        <v>-5.9881988805514402E-2</v>
      </c>
      <c r="AL41" s="3">
        <v>0.49305484211969902</v>
      </c>
      <c r="AM41" s="6">
        <v>-4.2680385626929697E-2</v>
      </c>
    </row>
    <row r="42" spans="1:39" x14ac:dyDescent="0.3">
      <c r="A42" s="24" t="s">
        <v>38</v>
      </c>
      <c r="B42" s="29" cm="1">
        <f t="array" ref="B42">GEOMEAN(1+K42:AM42)-1</f>
        <v>0.18452248472537947</v>
      </c>
      <c r="C42" s="80" cm="1">
        <f t="array" ref="C42">GEOMEAN(1+M42:AM42)-1</f>
        <v>0.17959848438113357</v>
      </c>
      <c r="D42" s="80" cm="1">
        <f t="array" ref="D42">GEOMEAN(1+O42:AM42)-1</f>
        <v>0.18240859477974514</v>
      </c>
      <c r="E42" s="80" cm="1">
        <f t="array" ref="E42">GEOMEAN(1+Y42:AM42)-1</f>
        <v>8.6729861444662326E-2</v>
      </c>
      <c r="F42" s="80" cm="1">
        <f t="array" ref="F42">GEOMEAN(1+AI42:AM42)-1</f>
        <v>0.12336045508788485</v>
      </c>
      <c r="G42" s="46">
        <v>0.20099401960093968</v>
      </c>
      <c r="H42" s="46">
        <v>0.20021115642950429</v>
      </c>
      <c r="I42" s="46">
        <f t="shared" si="2"/>
        <v>0.22888486438981673</v>
      </c>
      <c r="J42" s="46">
        <f t="shared" si="1"/>
        <v>0.20518581135983832</v>
      </c>
      <c r="K42" s="10">
        <v>0.48149093898629303</v>
      </c>
      <c r="L42" s="3">
        <v>5.98231498449582E-2</v>
      </c>
      <c r="M42" s="3">
        <v>-0.19642212506533999</v>
      </c>
      <c r="N42" s="3">
        <v>0.63157161248133997</v>
      </c>
      <c r="O42" s="3">
        <v>0.240802536074541</v>
      </c>
      <c r="P42" s="3">
        <v>4.4897346890187699E-2</v>
      </c>
      <c r="Q42" s="3">
        <v>0.21632602038422399</v>
      </c>
      <c r="R42" s="3">
        <v>0.88302343651729498</v>
      </c>
      <c r="S42" s="3">
        <v>0.57593436567919798</v>
      </c>
      <c r="T42" s="3">
        <v>0.48753330810093498</v>
      </c>
      <c r="U42" s="3">
        <v>0.45060715727314199</v>
      </c>
      <c r="V42" s="3">
        <v>0.206197011839234</v>
      </c>
      <c r="W42" s="3">
        <v>-0.32166926911157001</v>
      </c>
      <c r="X42" s="3">
        <v>1.29228720557954</v>
      </c>
      <c r="Y42" s="3">
        <v>0.10500523519901001</v>
      </c>
      <c r="Z42" s="3">
        <v>4.8996939843078999E-2</v>
      </c>
      <c r="AA42" s="3">
        <v>0.17889254006480301</v>
      </c>
      <c r="AB42" s="3">
        <v>-8.1426686650931099E-2</v>
      </c>
      <c r="AC42" s="3">
        <v>-0.131611933730124</v>
      </c>
      <c r="AD42" s="3">
        <v>-7.4347731483165203E-2</v>
      </c>
      <c r="AE42" s="3">
        <v>0.32695715934005398</v>
      </c>
      <c r="AF42" s="3">
        <v>0.54895756922746597</v>
      </c>
      <c r="AG42" s="3">
        <v>8.8786501333989701E-2</v>
      </c>
      <c r="AH42" s="3">
        <v>-0.13801266036474599</v>
      </c>
      <c r="AI42" s="3">
        <v>0.55547688228147796</v>
      </c>
      <c r="AJ42" s="3">
        <v>9.4511840858668705E-4</v>
      </c>
      <c r="AK42" s="3">
        <v>-0.199514452836796</v>
      </c>
      <c r="AL42" s="3">
        <v>0.53105352317264698</v>
      </c>
      <c r="AM42" s="6">
        <v>-6.2485565635573302E-2</v>
      </c>
    </row>
    <row r="43" spans="1:39" x14ac:dyDescent="0.3">
      <c r="A43" s="24" t="s">
        <v>39</v>
      </c>
      <c r="B43" s="29" cm="1">
        <f t="array" ref="B43">GEOMEAN(1+K43:AM43)-1</f>
        <v>0.20403129978151702</v>
      </c>
      <c r="C43" s="80" cm="1">
        <f t="array" ref="C43">GEOMEAN(1+M43:AM43)-1</f>
        <v>0.18095679576008394</v>
      </c>
      <c r="D43" s="80" cm="1">
        <f t="array" ref="D43">GEOMEAN(1+O43:AM43)-1</f>
        <v>0.14690361497623772</v>
      </c>
      <c r="E43" s="80" cm="1">
        <f t="array" ref="E43">GEOMEAN(1+Y43:AM43)-1</f>
        <v>9.3352889738165246E-2</v>
      </c>
      <c r="F43" s="80" cm="1">
        <f t="array" ref="F43">GEOMEAN(1+AI43:AM43)-1</f>
        <v>0.11240174649485812</v>
      </c>
      <c r="G43" s="46">
        <v>0.26673250128775977</v>
      </c>
      <c r="H43" s="46">
        <v>0.27083522006972244</v>
      </c>
      <c r="I43" s="46">
        <f t="shared" si="2"/>
        <v>0.24561425270400361</v>
      </c>
      <c r="J43" s="46">
        <f t="shared" si="1"/>
        <v>0.15669601591441651</v>
      </c>
      <c r="K43" s="10">
        <v>0.41938730959002501</v>
      </c>
      <c r="L43" s="3">
        <v>0.72217131945556201</v>
      </c>
      <c r="M43" s="3">
        <v>0.44208138427413901</v>
      </c>
      <c r="N43" s="3">
        <v>1.0098120656770599</v>
      </c>
      <c r="O43" s="3">
        <v>0.23596884046107999</v>
      </c>
      <c r="P43" s="3">
        <v>-1.13794797147618E-2</v>
      </c>
      <c r="Q43" s="3">
        <v>8.83511463172615E-2</v>
      </c>
      <c r="R43" s="3">
        <v>0.78296346623670898</v>
      </c>
      <c r="S43" s="3">
        <v>0.24865458205284799</v>
      </c>
      <c r="T43" s="3">
        <v>0.712168596504267</v>
      </c>
      <c r="U43" s="3">
        <v>0.233292659600144</v>
      </c>
      <c r="V43" s="3">
        <v>0.20487334992728401</v>
      </c>
      <c r="W43" s="3">
        <v>-0.49563795171032698</v>
      </c>
      <c r="X43" s="3">
        <v>1.12363693398096</v>
      </c>
      <c r="Y43" s="3">
        <v>0.154095592632808</v>
      </c>
      <c r="Z43" s="3">
        <v>8.5608559083461002E-5</v>
      </c>
      <c r="AA43" s="3">
        <v>0.106790274410953</v>
      </c>
      <c r="AB43" s="3">
        <v>-4.7973487887925798E-2</v>
      </c>
      <c r="AC43" s="3">
        <v>5.4897740264037197E-3</v>
      </c>
      <c r="AD43" s="3">
        <v>-4.7330685804990898E-2</v>
      </c>
      <c r="AE43" s="3">
        <v>0.222487028030673</v>
      </c>
      <c r="AF43" s="3">
        <v>0.49497302043137298</v>
      </c>
      <c r="AG43" s="3">
        <v>0.23867877324720399</v>
      </c>
      <c r="AH43" s="3">
        <v>-0.15092204597919201</v>
      </c>
      <c r="AI43" s="3">
        <v>1.06585724014632</v>
      </c>
      <c r="AJ43" s="3">
        <v>-6.9688914739158697E-2</v>
      </c>
      <c r="AK43" s="3">
        <v>-0.21385230177256101</v>
      </c>
      <c r="AL43" s="3">
        <v>0.33495981833598698</v>
      </c>
      <c r="AM43" s="6">
        <v>-0.15548480751626101</v>
      </c>
    </row>
    <row r="44" spans="1:39" ht="15" thickBot="1" x14ac:dyDescent="0.35">
      <c r="A44" s="25" t="s">
        <v>40</v>
      </c>
      <c r="B44" s="30" cm="1">
        <f t="array" ref="B44">GEOMEAN(1+K44:AM44)-1</f>
        <v>8.7977862247281324E-2</v>
      </c>
      <c r="C44" s="81" cm="1">
        <f t="array" ref="C44">GEOMEAN(1+M44:AM44)-1</f>
        <v>8.6689241905099967E-2</v>
      </c>
      <c r="D44" s="81" cm="1">
        <f t="array" ref="D44">GEOMEAN(1+O44:AM44)-1</f>
        <v>9.5143341555541383E-2</v>
      </c>
      <c r="E44" s="81" cm="1">
        <f t="array" ref="E44">GEOMEAN(1+Y44:AM44)-1</f>
        <v>5.9545354049548527E-2</v>
      </c>
      <c r="F44" s="81" cm="1">
        <f t="array" ref="F44">GEOMEAN(1+AI44:AM44)-1</f>
        <v>5.0907711088655772E-2</v>
      </c>
      <c r="G44" s="48">
        <v>0.22651951448984003</v>
      </c>
      <c r="H44" s="48">
        <v>0.22772152922022015</v>
      </c>
      <c r="I44" s="48">
        <f t="shared" si="2"/>
        <v>-0.22311602456149424</v>
      </c>
      <c r="J44" s="48">
        <f t="shared" si="1"/>
        <v>-0.22759707471766005</v>
      </c>
      <c r="K44" s="11">
        <v>0.41066833437524503</v>
      </c>
      <c r="L44" s="7">
        <v>-0.13361314220416901</v>
      </c>
      <c r="M44" s="7">
        <v>-0.33735155298460401</v>
      </c>
      <c r="N44" s="7">
        <v>0.46820793217383899</v>
      </c>
      <c r="O44" s="7">
        <v>-9.6860593080056206E-2</v>
      </c>
      <c r="P44" s="7">
        <v>5.8752589409656303E-2</v>
      </c>
      <c r="Q44" s="7">
        <v>-4.6849139275629399E-2</v>
      </c>
      <c r="R44" s="7">
        <v>0.80953216099526204</v>
      </c>
      <c r="S44" s="7">
        <v>0.32391872666071903</v>
      </c>
      <c r="T44" s="7">
        <v>0.46489290639692399</v>
      </c>
      <c r="U44" s="7">
        <v>0.27992660982944501</v>
      </c>
      <c r="V44" s="7">
        <v>-5.2397768550800201E-2</v>
      </c>
      <c r="W44" s="7">
        <v>-0.48020578889959598</v>
      </c>
      <c r="X44" s="7">
        <v>1.0201977883514599</v>
      </c>
      <c r="Y44" s="7">
        <v>6.4993388408480804E-2</v>
      </c>
      <c r="Z44" s="7">
        <v>-3.8467379052160099E-2</v>
      </c>
      <c r="AA44" s="7">
        <v>5.8476994040814502E-2</v>
      </c>
      <c r="AB44" s="7">
        <v>-7.4576493026409799E-2</v>
      </c>
      <c r="AC44" s="7">
        <v>-9.1349927427728503E-2</v>
      </c>
      <c r="AD44" s="7">
        <v>-5.13400506879075E-2</v>
      </c>
      <c r="AE44" s="7">
        <v>0.37125783897827103</v>
      </c>
      <c r="AF44" s="7">
        <v>0.27811053222005799</v>
      </c>
      <c r="AG44" s="7">
        <v>0.139980392238296</v>
      </c>
      <c r="AH44" s="7">
        <v>7.5338870927739193E-2</v>
      </c>
      <c r="AI44" s="7">
        <v>0.663845320116765</v>
      </c>
      <c r="AJ44" s="7">
        <v>-2.9761965057633399E-2</v>
      </c>
      <c r="AK44" s="7">
        <v>-0.36027341369300198</v>
      </c>
      <c r="AL44" s="7">
        <v>0.26500443806117002</v>
      </c>
      <c r="AM44" s="8">
        <v>-1.8827879873363498E-2</v>
      </c>
    </row>
    <row r="45" spans="1:39" x14ac:dyDescent="0.3">
      <c r="A45" s="23" t="s">
        <v>41</v>
      </c>
      <c r="B45" s="26" cm="1">
        <f t="array" ref="B45">GEOMEAN(1+K45:AM45)-1</f>
        <v>0.25768694152312044</v>
      </c>
      <c r="C45" s="75" cm="1">
        <f t="array" ref="C45">GEOMEAN(1+M45:AM45)-1</f>
        <v>0.23857205279725768</v>
      </c>
      <c r="D45" s="75" cm="1">
        <f t="array" ref="D45">GEOMEAN(1+O45:AM45)-1</f>
        <v>0.22785774387043944</v>
      </c>
      <c r="E45" s="12" cm="1">
        <f t="array" ref="E45">GEOMEAN(1+Y45:AM45)-1</f>
        <v>0.13561699062429944</v>
      </c>
      <c r="F45" s="12" cm="1">
        <f t="array" ref="F45">GEOMEAN(1+AI45:AM45)-1</f>
        <v>0.19612584412606937</v>
      </c>
      <c r="G45" s="45">
        <v>0.26443016759819354</v>
      </c>
      <c r="H45" s="45">
        <v>0.2655740558880057</v>
      </c>
      <c r="I45" s="45">
        <f t="shared" si="2"/>
        <v>0.45066320079766997</v>
      </c>
      <c r="J45" s="45">
        <f t="shared" si="1"/>
        <v>0.37674635294042769</v>
      </c>
      <c r="K45" s="9">
        <v>0.99696204693685897</v>
      </c>
      <c r="L45" s="4">
        <v>0.19773220400295799</v>
      </c>
      <c r="M45" s="4">
        <v>3.3025349186652799E-3</v>
      </c>
      <c r="N45" s="4">
        <v>0.89994580017607595</v>
      </c>
      <c r="O45" s="4">
        <v>0.16042640666687599</v>
      </c>
      <c r="P45" s="4">
        <v>-7.8881125869514294E-3</v>
      </c>
      <c r="Q45" s="4">
        <v>0.63984470704783603</v>
      </c>
      <c r="R45" s="4">
        <v>0.64249322559672495</v>
      </c>
      <c r="S45" s="4">
        <v>0.74128728437685398</v>
      </c>
      <c r="T45" s="4">
        <v>0.28736598321916401</v>
      </c>
      <c r="U45" s="4">
        <v>0.64518052224618505</v>
      </c>
      <c r="V45" s="4">
        <v>0.12992351067150801</v>
      </c>
      <c r="W45" s="4">
        <v>-0.19838908135000199</v>
      </c>
      <c r="X45" s="4">
        <v>1.4262741043151801</v>
      </c>
      <c r="Y45" s="4">
        <v>0.36823975884655002</v>
      </c>
      <c r="Z45" s="4">
        <v>6.0384795036187301E-2</v>
      </c>
      <c r="AA45" s="4">
        <v>4.50677425188417E-2</v>
      </c>
      <c r="AB45" s="4">
        <v>-5.9751365145407999E-2</v>
      </c>
      <c r="AC45" s="4">
        <v>-6.9481950752207098E-3</v>
      </c>
      <c r="AD45" s="4">
        <v>-0.117922174056117</v>
      </c>
      <c r="AE45" s="4">
        <v>0.372322984097129</v>
      </c>
      <c r="AF45" s="4">
        <v>0.436803965549732</v>
      </c>
      <c r="AG45" s="4">
        <v>0.30154672475645899</v>
      </c>
      <c r="AH45" s="4">
        <v>-0.14140456850724301</v>
      </c>
      <c r="AI45" s="4">
        <v>2.6191639314234201</v>
      </c>
      <c r="AJ45" s="4">
        <v>1.08222299642891E-3</v>
      </c>
      <c r="AK45" s="4">
        <v>-0.21895664164068299</v>
      </c>
      <c r="AL45" s="4">
        <v>0.10701821059192</v>
      </c>
      <c r="AM45" s="5">
        <v>-0.218414565882812</v>
      </c>
    </row>
    <row r="46" spans="1:39" x14ac:dyDescent="0.3">
      <c r="A46" s="24" t="s">
        <v>42</v>
      </c>
      <c r="B46" s="29" cm="1">
        <f t="array" ref="B46">GEOMEAN(1+K46:AM46)-1</f>
        <v>0.25525706200179332</v>
      </c>
      <c r="C46" s="82" cm="1">
        <f t="array" ref="C46">GEOMEAN(1+M46:AM46)-1</f>
        <v>0.24752209254987889</v>
      </c>
      <c r="D46" s="80" cm="1">
        <f t="array" ref="D46">GEOMEAN(1+O46:AM46)-1</f>
        <v>0.22418348743146432</v>
      </c>
      <c r="E46" s="80" cm="1">
        <f t="array" ref="E46">GEOMEAN(1+Y46:AM46)-1</f>
        <v>9.9784095011377305E-2</v>
      </c>
      <c r="F46" s="80" cm="1">
        <f t="array" ref="F46">GEOMEAN(1+AI46:AM46)-1</f>
        <v>0.16992239211397786</v>
      </c>
      <c r="G46" s="46">
        <v>0.21918297340812057</v>
      </c>
      <c r="H46" s="46">
        <v>0.22147811803798279</v>
      </c>
      <c r="I46" s="46">
        <f t="shared" si="2"/>
        <v>0.5326101036989308</v>
      </c>
      <c r="J46" s="46">
        <f t="shared" si="1"/>
        <v>0.49216643932892196</v>
      </c>
      <c r="K46" s="10">
        <v>0.59933152659119604</v>
      </c>
      <c r="L46" s="3">
        <v>0.16414319813214201</v>
      </c>
      <c r="M46" s="3">
        <v>-5.2380125272852199E-2</v>
      </c>
      <c r="N46" s="3">
        <v>1.63333150239931</v>
      </c>
      <c r="O46" s="3">
        <v>0.32598587939141999</v>
      </c>
      <c r="P46" s="3">
        <v>0.25204020261704901</v>
      </c>
      <c r="Q46" s="3">
        <v>0.57719404919042705</v>
      </c>
      <c r="R46" s="3">
        <v>0.76432790025178898</v>
      </c>
      <c r="S46" s="3">
        <v>0.575499742068321</v>
      </c>
      <c r="T46" s="3">
        <v>0.20253742780200201</v>
      </c>
      <c r="U46" s="3">
        <v>0.56116768422368501</v>
      </c>
      <c r="V46" s="3">
        <v>0.29024471117796502</v>
      </c>
      <c r="W46" s="3">
        <v>-8.2349136407871407E-2</v>
      </c>
      <c r="X46" s="3">
        <v>1.3313836545730799</v>
      </c>
      <c r="Y46" s="3">
        <v>0.276553486139759</v>
      </c>
      <c r="Z46" s="3">
        <v>0.19942594104196701</v>
      </c>
      <c r="AA46" s="3">
        <v>-7.13106752159548E-2</v>
      </c>
      <c r="AB46" s="3">
        <v>-8.4754720214280904E-2</v>
      </c>
      <c r="AC46" s="3">
        <v>-0.132619286784628</v>
      </c>
      <c r="AD46" s="3">
        <v>-0.154450869436731</v>
      </c>
      <c r="AE46" s="3">
        <v>0.47683341100730903</v>
      </c>
      <c r="AF46" s="3">
        <v>0.235500298815468</v>
      </c>
      <c r="AG46" s="3">
        <v>0.20743402987656001</v>
      </c>
      <c r="AH46" s="3">
        <v>-9.6310024919431997E-2</v>
      </c>
      <c r="AI46" s="3">
        <v>1.38689376655398</v>
      </c>
      <c r="AJ46" s="3">
        <v>9.1509664665780505E-2</v>
      </c>
      <c r="AK46" s="3">
        <v>-0.28240316710667002</v>
      </c>
      <c r="AL46" s="3">
        <v>0.24822868296262901</v>
      </c>
      <c r="AM46" s="6">
        <v>-6.0817655369701303E-2</v>
      </c>
    </row>
    <row r="47" spans="1:39" x14ac:dyDescent="0.3">
      <c r="A47" s="24" t="s">
        <v>43</v>
      </c>
      <c r="B47" s="29" cm="1">
        <f t="array" ref="B47">GEOMEAN(1+K47:AM47)-1</f>
        <v>0.24466165548476693</v>
      </c>
      <c r="C47" s="80" cm="1">
        <f t="array" ref="C47">GEOMEAN(1+M47:AM47)-1</f>
        <v>0.24625172336610013</v>
      </c>
      <c r="D47" s="80" cm="1">
        <f t="array" ref="D47">GEOMEAN(1+O47:AM47)-1</f>
        <v>0.22434361198032948</v>
      </c>
      <c r="E47" s="80" cm="1">
        <f t="array" ref="E47">GEOMEAN(1+Y47:AM47)-1</f>
        <v>0.10872881384592792</v>
      </c>
      <c r="F47" s="80" cm="1">
        <f t="array" ref="F47">GEOMEAN(1+AI47:AM47)-1</f>
        <v>0.14488188706504634</v>
      </c>
      <c r="G47" s="46">
        <v>0.20362039854207029</v>
      </c>
      <c r="H47" s="46">
        <v>0.20615029326129478</v>
      </c>
      <c r="I47" s="46">
        <f t="shared" si="2"/>
        <v>0.52128205444496378</v>
      </c>
      <c r="J47" s="46">
        <f t="shared" si="1"/>
        <v>0.52259798351920739</v>
      </c>
      <c r="K47" s="10">
        <v>0.46626493954208997</v>
      </c>
      <c r="L47" s="3">
        <v>2.07507548913466E-2</v>
      </c>
      <c r="M47" s="3">
        <v>-9.2154029513326092E-3</v>
      </c>
      <c r="N47" s="3">
        <v>1.4422695982960201</v>
      </c>
      <c r="O47" s="3">
        <v>0.218741630183795</v>
      </c>
      <c r="P47" s="3">
        <v>0.33493529371101299</v>
      </c>
      <c r="Q47" s="3">
        <v>0.43688135392338301</v>
      </c>
      <c r="R47" s="3">
        <v>0.79625731369063202</v>
      </c>
      <c r="S47" s="3">
        <v>0.62178290597076202</v>
      </c>
      <c r="T47" s="3">
        <v>0.19349254816349301</v>
      </c>
      <c r="U47" s="3">
        <v>0.49749724912972199</v>
      </c>
      <c r="V47" s="3">
        <v>0.38994476163381703</v>
      </c>
      <c r="W47" s="3">
        <v>-0.13265572866627101</v>
      </c>
      <c r="X47" s="3">
        <v>1.2838845103027701</v>
      </c>
      <c r="Y47" s="3">
        <v>0.37468331021783502</v>
      </c>
      <c r="Z47" s="3">
        <v>0.33869908855659098</v>
      </c>
      <c r="AA47" s="3">
        <v>-1.24152270806374E-2</v>
      </c>
      <c r="AB47" s="3">
        <v>-6.6195078912750602E-2</v>
      </c>
      <c r="AC47" s="3">
        <v>-0.12519455671143001</v>
      </c>
      <c r="AD47" s="3">
        <v>-0.17531096196463</v>
      </c>
      <c r="AE47" s="3">
        <v>0.50687117231200796</v>
      </c>
      <c r="AF47" s="3">
        <v>0.19596961360278101</v>
      </c>
      <c r="AG47" s="3">
        <v>0.12975836509757399</v>
      </c>
      <c r="AH47" s="3">
        <v>-4.0871303840673903E-2</v>
      </c>
      <c r="AI47" s="3">
        <v>1.0461324069589799</v>
      </c>
      <c r="AJ47" s="3">
        <v>8.3211461796013797E-2</v>
      </c>
      <c r="AK47" s="3">
        <v>-0.24059797166334701</v>
      </c>
      <c r="AL47" s="3">
        <v>0.243986616177465</v>
      </c>
      <c r="AM47" s="6">
        <v>-6.05601437450832E-2</v>
      </c>
    </row>
    <row r="48" spans="1:39" x14ac:dyDescent="0.3">
      <c r="A48" s="24" t="s">
        <v>44</v>
      </c>
      <c r="B48" s="29" cm="1">
        <f t="array" ref="B48">GEOMEAN(1+K48:AM48)-1</f>
        <v>0.23899258531774548</v>
      </c>
      <c r="C48" s="80" cm="1">
        <f t="array" ref="C48">GEOMEAN(1+M48:AM48)-1</f>
        <v>0.23912233569319685</v>
      </c>
      <c r="D48" s="80" cm="1">
        <f t="array" ref="D48">GEOMEAN(1+O48:AM48)-1</f>
        <v>0.21696293461616079</v>
      </c>
      <c r="E48" s="80" cm="1">
        <f t="array" ref="E48">GEOMEAN(1+Y48:AM48)-1</f>
        <v>0.1028623906221271</v>
      </c>
      <c r="F48" s="80" cm="1">
        <f t="array" ref="F48">GEOMEAN(1+AI48:AM48)-1</f>
        <v>0.15519744106587807</v>
      </c>
      <c r="G48" s="46">
        <v>0.19352141690946922</v>
      </c>
      <c r="H48" s="46">
        <v>0.19594672816894798</v>
      </c>
      <c r="I48" s="46">
        <f t="shared" si="2"/>
        <v>0.51919105965875612</v>
      </c>
      <c r="J48" s="46">
        <f t="shared" si="1"/>
        <v>0.51342699532395442</v>
      </c>
      <c r="K48" s="10">
        <v>0.47574752613529703</v>
      </c>
      <c r="L48" s="3">
        <v>3.7283439939192399E-2</v>
      </c>
      <c r="M48" s="3">
        <v>2.73145977755462E-2</v>
      </c>
      <c r="N48" s="3">
        <v>1.34663622754344</v>
      </c>
      <c r="O48" s="3">
        <v>0.277506083669322</v>
      </c>
      <c r="P48" s="3">
        <v>0.330260595415589</v>
      </c>
      <c r="Q48" s="3">
        <v>0.40219216722039602</v>
      </c>
      <c r="R48" s="3">
        <v>1.0629673483351501</v>
      </c>
      <c r="S48" s="3">
        <v>0.474335664436348</v>
      </c>
      <c r="T48" s="3">
        <v>0.19057363915355199</v>
      </c>
      <c r="U48" s="3">
        <v>0.499776129484509</v>
      </c>
      <c r="V48" s="3">
        <v>0.41220093179385597</v>
      </c>
      <c r="W48" s="3">
        <v>-0.193942364821275</v>
      </c>
      <c r="X48" s="3">
        <v>1.11773989013028</v>
      </c>
      <c r="Y48" s="3">
        <v>0.37865431905592301</v>
      </c>
      <c r="Z48" s="3">
        <v>0.24538090764699899</v>
      </c>
      <c r="AA48" s="3">
        <v>6.5260835017096896E-2</v>
      </c>
      <c r="AB48" s="3">
        <v>-7.3779066664788395E-2</v>
      </c>
      <c r="AC48" s="3">
        <v>-0.19545286598130099</v>
      </c>
      <c r="AD48" s="3">
        <v>-0.12933400362953801</v>
      </c>
      <c r="AE48" s="3">
        <v>0.46393944532522902</v>
      </c>
      <c r="AF48" s="3">
        <v>0.165112571013597</v>
      </c>
      <c r="AG48" s="3">
        <v>0.102215890566708</v>
      </c>
      <c r="AH48" s="3">
        <v>-5.3654055305388401E-2</v>
      </c>
      <c r="AI48" s="3">
        <v>1.00872504427159</v>
      </c>
      <c r="AJ48" s="3">
        <v>0.129991379501154</v>
      </c>
      <c r="AK48" s="3">
        <v>-0.23479276719268299</v>
      </c>
      <c r="AL48" s="3">
        <v>0.27729921457385298</v>
      </c>
      <c r="AM48" s="6">
        <v>-7.2713889053574704E-2</v>
      </c>
    </row>
    <row r="49" spans="1:39" ht="15" thickBot="1" x14ac:dyDescent="0.35">
      <c r="A49" s="68" t="s">
        <v>45</v>
      </c>
      <c r="B49" s="69" cm="1">
        <f t="array" ref="B49">GEOMEAN(1+K49:AM49)-1</f>
        <v>0.24579956385713464</v>
      </c>
      <c r="C49" s="93" cm="1">
        <f t="array" ref="C49">GEOMEAN(1+M49:AM49)-1</f>
        <v>0.24597198433873158</v>
      </c>
      <c r="D49" s="76" cm="1">
        <f t="array" ref="D49">GEOMEAN(1+O49:AM49)-1</f>
        <v>0.22795171747427534</v>
      </c>
      <c r="E49" s="93" cm="1">
        <f t="array" ref="E49">GEOMEAN(1+Y49:AM49)-1</f>
        <v>0.11650874651093379</v>
      </c>
      <c r="F49" s="93" cm="1">
        <f t="array" ref="F49">GEOMEAN(1+AI49:AM49)-1</f>
        <v>0.18489972314783576</v>
      </c>
      <c r="G49" s="70">
        <v>0.18491140211327534</v>
      </c>
      <c r="H49" s="70">
        <v>0.18732835858122271</v>
      </c>
      <c r="I49" s="96">
        <f t="shared" si="2"/>
        <v>0.5801782195430033</v>
      </c>
      <c r="J49" s="96">
        <f t="shared" si="1"/>
        <v>0.57361303620394954</v>
      </c>
      <c r="K49" s="97">
        <v>0.42703774555490898</v>
      </c>
      <c r="L49" s="98">
        <v>8.3522943845151507E-2</v>
      </c>
      <c r="M49" s="98">
        <v>3.5242825447152397E-2</v>
      </c>
      <c r="N49" s="98">
        <v>1.15848476010628</v>
      </c>
      <c r="O49" s="98">
        <v>0.309931963164296</v>
      </c>
      <c r="P49" s="98">
        <v>0.33743586714596702</v>
      </c>
      <c r="Q49" s="98">
        <v>0.36405048664064898</v>
      </c>
      <c r="R49" s="98">
        <v>1.0181229901018101</v>
      </c>
      <c r="S49" s="98">
        <v>0.535223436321006</v>
      </c>
      <c r="T49" s="98">
        <v>0.27662402258895202</v>
      </c>
      <c r="U49" s="98">
        <v>0.56983498740729699</v>
      </c>
      <c r="V49" s="98">
        <v>0.26202001301699102</v>
      </c>
      <c r="W49" s="98">
        <v>-0.17358660922142699</v>
      </c>
      <c r="X49" s="98">
        <v>1.0986902851332101</v>
      </c>
      <c r="Y49" s="98">
        <v>0.314657957874098</v>
      </c>
      <c r="Z49" s="98">
        <v>0.23351127855329101</v>
      </c>
      <c r="AA49" s="98">
        <v>0.156183446552318</v>
      </c>
      <c r="AB49" s="98">
        <v>-8.8616162892421593E-2</v>
      </c>
      <c r="AC49" s="98">
        <v>-0.20367285779199301</v>
      </c>
      <c r="AD49" s="98">
        <v>-7.7408474582133499E-2</v>
      </c>
      <c r="AE49" s="98">
        <v>0.359123685116639</v>
      </c>
      <c r="AF49" s="98">
        <v>0.216611434081809</v>
      </c>
      <c r="AG49" s="98">
        <v>0.10116960599447</v>
      </c>
      <c r="AH49" s="98">
        <v>-2.16958065464345E-2</v>
      </c>
      <c r="AI49" s="98">
        <v>0.81978782735300704</v>
      </c>
      <c r="AJ49" s="98">
        <v>8.5391449382887993E-2</v>
      </c>
      <c r="AK49" s="98">
        <v>-0.13859619708325599</v>
      </c>
      <c r="AL49" s="98">
        <v>0.38689253692166498</v>
      </c>
      <c r="AM49" s="99">
        <v>-1.01913552944104E-2</v>
      </c>
    </row>
    <row r="50" spans="1:39" x14ac:dyDescent="0.3">
      <c r="A50" s="23" t="s">
        <v>46</v>
      </c>
      <c r="B50" s="27" cm="1">
        <f t="array" ref="B50">GEOMEAN(1+K50:AM50)-1</f>
        <v>0.24178313612466495</v>
      </c>
      <c r="C50" s="75" cm="1">
        <f t="array" ref="C50">GEOMEAN(1+M50:AM50)-1</f>
        <v>0.23793536037491769</v>
      </c>
      <c r="D50" s="75" cm="1">
        <f t="array" ref="D50">GEOMEAN(1+O50:AM50)-1</f>
        <v>0.22918339289060929</v>
      </c>
      <c r="E50" s="75" cm="1">
        <f t="array" ref="E50">GEOMEAN(1+Y50:AM50)-1</f>
        <v>0.12092407197948418</v>
      </c>
      <c r="F50" s="75" cm="1">
        <f t="array" ref="F50">GEOMEAN(1+AI50:AM50)-1</f>
        <v>0.19387596024366371</v>
      </c>
      <c r="G50" s="45">
        <v>0.1962315184331126</v>
      </c>
      <c r="H50" s="45">
        <v>0.19747861608395351</v>
      </c>
      <c r="I50" s="45">
        <f t="shared" si="2"/>
        <v>0.52624135584014065</v>
      </c>
      <c r="J50" s="45">
        <f t="shared" si="1"/>
        <v>0.50343356936833328</v>
      </c>
      <c r="K50" s="9">
        <v>0.58642514067785201</v>
      </c>
      <c r="L50" s="4">
        <v>5.6968987056958499E-2</v>
      </c>
      <c r="M50" s="4">
        <v>-7.9992681156703105E-3</v>
      </c>
      <c r="N50" s="4">
        <v>0.84465881390237896</v>
      </c>
      <c r="O50" s="4">
        <v>0.32066547874243601</v>
      </c>
      <c r="P50" s="4">
        <v>0.41391090724312102</v>
      </c>
      <c r="Q50" s="4">
        <v>0.57379059161119195</v>
      </c>
      <c r="R50" s="4">
        <v>0.54979804819947997</v>
      </c>
      <c r="S50" s="4">
        <v>0.60790674419313395</v>
      </c>
      <c r="T50" s="4">
        <v>0.20756768572527101</v>
      </c>
      <c r="U50" s="4">
        <v>0.51108607885879098</v>
      </c>
      <c r="V50" s="4">
        <v>0.389247555816362</v>
      </c>
      <c r="W50" s="4">
        <v>-0.20159465510355001</v>
      </c>
      <c r="X50" s="4">
        <v>1.11773989013028</v>
      </c>
      <c r="Y50" s="4">
        <v>0.33881491883681703</v>
      </c>
      <c r="Z50" s="4">
        <v>0.21136584477145401</v>
      </c>
      <c r="AA50" s="4">
        <v>0.12994898882328301</v>
      </c>
      <c r="AB50" s="4">
        <v>-9.3788546814430496E-2</v>
      </c>
      <c r="AC50" s="4">
        <v>-0.17357249575429701</v>
      </c>
      <c r="AD50" s="4">
        <v>-9.8783873979377407E-2</v>
      </c>
      <c r="AE50" s="4">
        <v>0.47038307925851902</v>
      </c>
      <c r="AF50" s="4">
        <v>0.19577115915804799</v>
      </c>
      <c r="AG50" s="4">
        <v>9.9763266151222399E-2</v>
      </c>
      <c r="AH50" s="4">
        <v>-4.4674982407249299E-2</v>
      </c>
      <c r="AI50" s="4">
        <v>0.90447195175876305</v>
      </c>
      <c r="AJ50" s="4">
        <v>7.39460492171609E-2</v>
      </c>
      <c r="AK50" s="4">
        <v>-0.12403366560453299</v>
      </c>
      <c r="AL50" s="4">
        <v>0.36772987534319201</v>
      </c>
      <c r="AM50" s="5">
        <v>-1.01913552944104E-2</v>
      </c>
    </row>
    <row r="51" spans="1:39" x14ac:dyDescent="0.3">
      <c r="A51" s="24" t="s">
        <v>47</v>
      </c>
      <c r="B51" s="28" cm="1">
        <f t="array" ref="B51">GEOMEAN(1+K51:AM51)-1</f>
        <v>0.2671781204390169</v>
      </c>
      <c r="C51" s="82" cm="1">
        <f t="array" ref="C51">GEOMEAN(1+M51:AM51)-1</f>
        <v>0.26888923723533908</v>
      </c>
      <c r="D51" s="82" cm="1">
        <f t="array" ref="D51">GEOMEAN(1+O51:AM51)-1</f>
        <v>0.23523010268782296</v>
      </c>
      <c r="E51" s="82" cm="1">
        <f t="array" ref="E51">GEOMEAN(1+Y51:AM51)-1</f>
        <v>0.15190779185949377</v>
      </c>
      <c r="F51" s="82" cm="1">
        <f t="array" ref="F51">GEOMEAN(1+AI51:AM51)-1</f>
        <v>0.19515868157801708</v>
      </c>
      <c r="G51" s="46">
        <v>0.20394286294211728</v>
      </c>
      <c r="H51" s="46">
        <v>0.20438224866794744</v>
      </c>
      <c r="I51" s="47">
        <f t="shared" si="2"/>
        <v>0.63086358001004805</v>
      </c>
      <c r="J51" s="47">
        <f t="shared" si="1"/>
        <v>0.63787947475465145</v>
      </c>
      <c r="K51" s="10">
        <v>0.46631957142166303</v>
      </c>
      <c r="L51" s="3">
        <v>5.5901488184028097E-2</v>
      </c>
      <c r="M51" s="3">
        <v>8.2958489942725797E-2</v>
      </c>
      <c r="N51" s="3">
        <v>1.91160050750166</v>
      </c>
      <c r="O51" s="3">
        <v>0.21068801103602899</v>
      </c>
      <c r="P51" s="3">
        <v>0.29497168176882799</v>
      </c>
      <c r="Q51" s="3">
        <v>0.30883881515117201</v>
      </c>
      <c r="R51" s="3">
        <v>1.0836684156770799</v>
      </c>
      <c r="S51" s="3">
        <v>0.40406286648804401</v>
      </c>
      <c r="T51" s="3">
        <v>0.15154028134906</v>
      </c>
      <c r="U51" s="3">
        <v>0.72328636259240597</v>
      </c>
      <c r="V51" s="3">
        <v>9.4615200916862804E-2</v>
      </c>
      <c r="W51" s="3">
        <v>-0.23644127465142301</v>
      </c>
      <c r="X51" s="3">
        <v>1.36753597500061</v>
      </c>
      <c r="Y51" s="3">
        <v>0.236257064518268</v>
      </c>
      <c r="Z51" s="3">
        <v>0.18589854287679899</v>
      </c>
      <c r="AA51" s="3">
        <v>0.213870212819881</v>
      </c>
      <c r="AB51" s="3">
        <v>-9.9596405739743599E-3</v>
      </c>
      <c r="AC51" s="3">
        <v>-0.13364965641732399</v>
      </c>
      <c r="AD51" s="3">
        <v>-1.3510590570244799E-3</v>
      </c>
      <c r="AE51" s="3">
        <v>0.25677731460425401</v>
      </c>
      <c r="AF51" s="3">
        <v>0.49687640579440601</v>
      </c>
      <c r="AG51" s="3">
        <v>0.19091185429524599</v>
      </c>
      <c r="AH51" s="3">
        <v>1.67335165695892E-3</v>
      </c>
      <c r="AI51" s="3">
        <v>0.84761732048539795</v>
      </c>
      <c r="AJ51" s="3">
        <v>8.6395581572463506E-2</v>
      </c>
      <c r="AK51" s="3">
        <v>-6.9148906669743604E-2</v>
      </c>
      <c r="AL51" s="3">
        <v>0.47091066548532601</v>
      </c>
      <c r="AM51" s="6">
        <v>-0.112718703512414</v>
      </c>
    </row>
    <row r="52" spans="1:39" x14ac:dyDescent="0.3">
      <c r="A52" s="24" t="s">
        <v>48</v>
      </c>
      <c r="B52" s="29" cm="1">
        <f t="array" ref="B52">GEOMEAN(1+K52:AM52)-1</f>
        <v>0.1795623237331796</v>
      </c>
      <c r="C52" s="80" cm="1">
        <f t="array" ref="C52">GEOMEAN(1+M52:AM52)-1</f>
        <v>0.17614247503607228</v>
      </c>
      <c r="D52" s="80" cm="1">
        <f t="array" ref="D52">GEOMEAN(1+O52:AM52)-1</f>
        <v>0.17049319308127142</v>
      </c>
      <c r="E52" s="80" cm="1">
        <f t="array" ref="E52">GEOMEAN(1+Y52:AM52)-1</f>
        <v>9.3903611666287468E-2</v>
      </c>
      <c r="F52" s="80" cm="1">
        <f t="array" ref="F52">GEOMEAN(1+AI52:AM52)-1</f>
        <v>0.13236202905008265</v>
      </c>
      <c r="G52" s="46">
        <v>0.20732015228165054</v>
      </c>
      <c r="H52" s="46">
        <v>0.20809310654719937</v>
      </c>
      <c r="I52" s="46">
        <f t="shared" si="2"/>
        <v>0.19797558257416986</v>
      </c>
      <c r="J52" s="46">
        <f t="shared" si="1"/>
        <v>0.18080598562107644</v>
      </c>
      <c r="K52" s="10">
        <v>0.46530031840158498</v>
      </c>
      <c r="L52" s="3">
        <v>2.69776873618961E-2</v>
      </c>
      <c r="M52" s="3">
        <v>-0.24529647442494101</v>
      </c>
      <c r="N52" s="3">
        <v>1.0673763157153</v>
      </c>
      <c r="O52" s="3">
        <v>0.290362866730213</v>
      </c>
      <c r="P52" s="3">
        <v>4.87371785174779E-2</v>
      </c>
      <c r="Q52" s="3">
        <v>0.28183705979210399</v>
      </c>
      <c r="R52" s="3">
        <v>1.0975622405991701</v>
      </c>
      <c r="S52" s="3">
        <v>0.50523866777944104</v>
      </c>
      <c r="T52" s="3">
        <v>0.68634904095917804</v>
      </c>
      <c r="U52" s="3">
        <v>0.20867648868835501</v>
      </c>
      <c r="V52" s="3">
        <v>9.0069426994929994E-2</v>
      </c>
      <c r="W52" s="3">
        <v>-0.44398980244074299</v>
      </c>
      <c r="X52" s="3">
        <v>0.96884007164720998</v>
      </c>
      <c r="Y52" s="3">
        <v>0.19100731827699399</v>
      </c>
      <c r="Z52" s="3">
        <v>7.0925205477609707E-2</v>
      </c>
      <c r="AA52" s="3">
        <v>9.1834208208447607E-2</v>
      </c>
      <c r="AB52" s="3">
        <v>-0.121447514624018</v>
      </c>
      <c r="AC52" s="3">
        <v>-4.1289567481270897E-2</v>
      </c>
      <c r="AD52" s="3">
        <v>-4.74206913617118E-2</v>
      </c>
      <c r="AE52" s="3">
        <v>0.23390959419203899</v>
      </c>
      <c r="AF52" s="3">
        <v>0.36995817865902603</v>
      </c>
      <c r="AG52" s="3">
        <v>0.138454785066457</v>
      </c>
      <c r="AH52" s="3">
        <v>-4.0010816094181799E-2</v>
      </c>
      <c r="AI52" s="3">
        <v>0.64214587142587298</v>
      </c>
      <c r="AJ52" s="3">
        <v>5.5151579738760302E-2</v>
      </c>
      <c r="AK52" s="3">
        <v>-0.21317435970763199</v>
      </c>
      <c r="AL52" s="3">
        <v>0.37864181985951301</v>
      </c>
      <c r="AM52" s="6">
        <v>-9.4647133824653507E-3</v>
      </c>
    </row>
    <row r="53" spans="1:39" x14ac:dyDescent="0.3">
      <c r="A53" s="24" t="s">
        <v>49</v>
      </c>
      <c r="B53" s="29" cm="1">
        <f t="array" ref="B53">GEOMEAN(1+K53:AM53)-1</f>
        <v>0.18053957809340404</v>
      </c>
      <c r="C53" s="80" cm="1">
        <f t="array" ref="C53">GEOMEAN(1+M53:AM53)-1</f>
        <v>0.19223244403487305</v>
      </c>
      <c r="D53" s="80" cm="1">
        <f t="array" ref="D53">GEOMEAN(1+O53:AM53)-1</f>
        <v>0.15813159378355279</v>
      </c>
      <c r="E53" s="80" cm="1">
        <f t="array" ref="E53">GEOMEAN(1+Y53:AM53)-1</f>
        <v>8.571662848235917E-2</v>
      </c>
      <c r="F53" s="80" cm="1">
        <f t="array" ref="F53">GEOMEAN(1+AI53:AM53)-1</f>
        <v>0.16629994696554462</v>
      </c>
      <c r="G53" s="46">
        <v>0.2795892019098884</v>
      </c>
      <c r="H53" s="46">
        <v>0.28446770813267314</v>
      </c>
      <c r="I53" s="46">
        <f t="shared" si="2"/>
        <v>0.15029758660383949</v>
      </c>
      <c r="J53" s="46">
        <f t="shared" si="1"/>
        <v>0.18882441378536682</v>
      </c>
      <c r="K53" s="10">
        <v>0.189045075834057</v>
      </c>
      <c r="L53" s="3">
        <v>-0.101759973881672</v>
      </c>
      <c r="M53" s="3">
        <v>0.64217494517626506</v>
      </c>
      <c r="N53" s="3">
        <v>0.788043657951359</v>
      </c>
      <c r="O53" s="3">
        <v>0.130282968053896</v>
      </c>
      <c r="P53" s="3">
        <v>-5.0391427795367198E-2</v>
      </c>
      <c r="Q53" s="3">
        <v>7.53391380631145E-2</v>
      </c>
      <c r="R53" s="3">
        <v>0.91621437216828205</v>
      </c>
      <c r="S53" s="3">
        <v>0.27949027640993501</v>
      </c>
      <c r="T53" s="3">
        <v>0.67018944805113201</v>
      </c>
      <c r="U53" s="3">
        <v>0.38507915313381402</v>
      </c>
      <c r="V53" s="3">
        <v>0.26802952913235001</v>
      </c>
      <c r="W53" s="3">
        <v>-0.42091310413889599</v>
      </c>
      <c r="X53" s="3">
        <v>1.37863942865519</v>
      </c>
      <c r="Y53" s="3">
        <v>0.118457073100341</v>
      </c>
      <c r="Z53" s="3">
        <v>-8.9908767543064996E-2</v>
      </c>
      <c r="AA53" s="3">
        <v>0.15092077238130999</v>
      </c>
      <c r="AB53" s="3">
        <v>-6.3285908901742793E-2</v>
      </c>
      <c r="AC53" s="3">
        <v>-7.9662185899035995E-2</v>
      </c>
      <c r="AD53" s="3">
        <v>-0.175028075068379</v>
      </c>
      <c r="AE53" s="3">
        <v>0.268715334935408</v>
      </c>
      <c r="AF53" s="3">
        <v>0.34451539755452198</v>
      </c>
      <c r="AG53" s="3">
        <v>0.25734361096805802</v>
      </c>
      <c r="AH53" s="3">
        <v>-0.109633226797291</v>
      </c>
      <c r="AI53" s="3">
        <v>1.2281448855239501</v>
      </c>
      <c r="AJ53" s="3">
        <v>-1.1869706645263101E-2</v>
      </c>
      <c r="AK53" s="3">
        <v>-0.22490882361938</v>
      </c>
      <c r="AL53" s="3">
        <v>0.46420162782476798</v>
      </c>
      <c r="AM53" s="6">
        <v>-0.13634565981532801</v>
      </c>
    </row>
    <row r="54" spans="1:39" ht="15" thickBot="1" x14ac:dyDescent="0.35">
      <c r="A54" s="25" t="s">
        <v>50</v>
      </c>
      <c r="B54" s="30" cm="1">
        <f t="array" ref="B54">GEOMEAN(1+K54:AM54)-1</f>
        <v>8.0162299766114442E-2</v>
      </c>
      <c r="C54" s="81" cm="1">
        <f t="array" ref="C54">GEOMEAN(1+M54:AM54)-1</f>
        <v>7.3121822038034301E-2</v>
      </c>
      <c r="D54" s="81" cm="1">
        <f t="array" ref="D54">GEOMEAN(1+O54:AM54)-1</f>
        <v>7.487862820121638E-2</v>
      </c>
      <c r="E54" s="81" cm="1">
        <f t="array" ref="E54">GEOMEAN(1+Y54:AM54)-1</f>
        <v>2.3643780632655487E-2</v>
      </c>
      <c r="F54" s="81" cm="1">
        <f t="array" ref="F54">GEOMEAN(1+AI54:AM54)-1</f>
        <v>-2.7338217957985966E-2</v>
      </c>
      <c r="G54" s="48">
        <v>0.23244792723918087</v>
      </c>
      <c r="H54" s="48">
        <v>0.23136393462266511</v>
      </c>
      <c r="I54" s="48">
        <f t="shared" si="2"/>
        <v>-0.25104846807127595</v>
      </c>
      <c r="J54" s="48">
        <f t="shared" si="1"/>
        <v>-0.28265500357467344</v>
      </c>
      <c r="K54" s="11">
        <v>0.59512274876438698</v>
      </c>
      <c r="L54" s="7">
        <v>-0.127302719379601</v>
      </c>
      <c r="M54" s="7">
        <v>-0.31494806343605097</v>
      </c>
      <c r="N54" s="7">
        <v>0.61366922474556396</v>
      </c>
      <c r="O54" s="7">
        <v>-0.111773320618493</v>
      </c>
      <c r="P54" s="7">
        <v>-3.0929453052092E-2</v>
      </c>
      <c r="Q54" s="7">
        <v>-8.0847837739231002E-2</v>
      </c>
      <c r="R54" s="7">
        <v>0.80453496587851703</v>
      </c>
      <c r="S54" s="7">
        <v>0.40391072642695502</v>
      </c>
      <c r="T54" s="7">
        <v>0.48258518193733502</v>
      </c>
      <c r="U54" s="7">
        <v>0.33538251835509802</v>
      </c>
      <c r="V54" s="7">
        <v>3.1528625632343002E-2</v>
      </c>
      <c r="W54" s="7">
        <v>-0.461926671127944</v>
      </c>
      <c r="X54" s="7">
        <v>0.94461400327582001</v>
      </c>
      <c r="Y54" s="7">
        <v>2.9603991772787101E-2</v>
      </c>
      <c r="Z54" s="7">
        <v>-7.4366454044362998E-2</v>
      </c>
      <c r="AA54" s="7">
        <v>8.1002089471277697E-2</v>
      </c>
      <c r="AB54" s="7">
        <v>-8.0077945574737797E-2</v>
      </c>
      <c r="AC54" s="7">
        <v>-0.13306699147675799</v>
      </c>
      <c r="AD54" s="7">
        <v>-3.2733693953902798E-2</v>
      </c>
      <c r="AE54" s="7">
        <v>0.39040880657563898</v>
      </c>
      <c r="AF54" s="7">
        <v>0.33023682897699602</v>
      </c>
      <c r="AG54" s="7">
        <v>0.11145854359955699</v>
      </c>
      <c r="AH54" s="7">
        <v>-1.74772075141705E-3</v>
      </c>
      <c r="AI54" s="7">
        <v>0.45544631999267998</v>
      </c>
      <c r="AJ54" s="7">
        <v>-0.11138545692323799</v>
      </c>
      <c r="AK54" s="7">
        <v>-0.360780107089477</v>
      </c>
      <c r="AL54" s="7">
        <v>0.17566023491619601</v>
      </c>
      <c r="AM54" s="8">
        <v>-0.104289759976899</v>
      </c>
    </row>
    <row r="55" spans="1:39" x14ac:dyDescent="0.3">
      <c r="A55" s="23" t="s">
        <v>54</v>
      </c>
      <c r="B55" s="26" cm="1">
        <f t="array" ref="B55">GEOMEAN(1+K55:AM55)-1</f>
        <v>0.22772121299211534</v>
      </c>
      <c r="C55" s="75" cm="1">
        <f t="array" ref="C55">GEOMEAN(1+M55:AM55)-1</f>
        <v>0.21538493083187249</v>
      </c>
      <c r="D55" s="75" cm="1">
        <f t="array" ref="D55">GEOMEAN(1+O55:AM55)-1</f>
        <v>0.19944903221665</v>
      </c>
      <c r="E55" s="75" cm="1">
        <f t="array" ref="E55">GEOMEAN(1+Y55:AM55)-1</f>
        <v>0.16072510492731951</v>
      </c>
      <c r="F55" s="75" cm="1">
        <f t="array" ref="F55">GEOMEAN(1+AI55:AM55)-1</f>
        <v>0.22352463034377212</v>
      </c>
      <c r="G55" s="45">
        <v>0.24014966970145821</v>
      </c>
      <c r="H55" s="45">
        <v>0.23832184484380872</v>
      </c>
      <c r="I55" s="45">
        <f t="shared" si="2"/>
        <v>0.37144842754584673</v>
      </c>
      <c r="J55" s="45">
        <f t="shared" si="1"/>
        <v>0.3225341557606492</v>
      </c>
      <c r="K55" s="14">
        <v>0.60008305858512001</v>
      </c>
      <c r="L55" s="15">
        <v>0.237304602026843</v>
      </c>
      <c r="M55" s="15">
        <v>3.3149622919536902E-2</v>
      </c>
      <c r="N55" s="15">
        <v>0.98868362715880298</v>
      </c>
      <c r="O55" s="15">
        <v>0.41550932557259901</v>
      </c>
      <c r="P55" s="15">
        <v>0.25847291606496098</v>
      </c>
      <c r="Q55" s="15">
        <v>0.695089089598108</v>
      </c>
      <c r="R55" s="15">
        <v>0.23286840638164899</v>
      </c>
      <c r="S55" s="15">
        <v>0.35564554882185601</v>
      </c>
      <c r="T55" s="15">
        <v>5.2636556714787099E-2</v>
      </c>
      <c r="U55" s="15">
        <v>0.54048469195806603</v>
      </c>
      <c r="V55" s="15">
        <v>-2.4772768571769702E-2</v>
      </c>
      <c r="W55" s="15">
        <v>-0.18840858612945</v>
      </c>
      <c r="X55" s="15">
        <v>0.55672959276373701</v>
      </c>
      <c r="Y55" s="15">
        <v>0.53744438076118095</v>
      </c>
      <c r="Z55" s="15">
        <v>0.19389516339212501</v>
      </c>
      <c r="AA55" s="15">
        <v>0.21887721387703099</v>
      </c>
      <c r="AB55" s="15">
        <v>-9.7292855075930093E-2</v>
      </c>
      <c r="AC55" s="15">
        <v>-8.1904762797434E-2</v>
      </c>
      <c r="AD55" s="15">
        <v>-0.137969439384037</v>
      </c>
      <c r="AE55" s="15">
        <v>0.25673418135885701</v>
      </c>
      <c r="AF55" s="15">
        <v>0.43523288668312698</v>
      </c>
      <c r="AG55" s="15">
        <v>0.34302239349848201</v>
      </c>
      <c r="AH55" s="15">
        <v>-0.119062324831789</v>
      </c>
      <c r="AI55" s="15">
        <v>1.5318815166644999</v>
      </c>
      <c r="AJ55" s="15">
        <v>-5.5810607764087999E-2</v>
      </c>
      <c r="AK55" s="15">
        <v>-0.211464307784166</v>
      </c>
      <c r="AL55" s="15">
        <v>0.16838048137072101</v>
      </c>
      <c r="AM55" s="16">
        <v>0.24496011368738199</v>
      </c>
    </row>
    <row r="56" spans="1:39" x14ac:dyDescent="0.3">
      <c r="A56" s="24" t="s">
        <v>55</v>
      </c>
      <c r="B56" s="29" cm="1">
        <f t="array" ref="B56">GEOMEAN(1+K56:AM56)-1</f>
        <v>0.21188807905415641</v>
      </c>
      <c r="C56" s="80" cm="1">
        <f t="array" ref="C56">GEOMEAN(1+M56:AM56)-1</f>
        <v>0.20010796797615904</v>
      </c>
      <c r="D56" s="80" cm="1">
        <f t="array" ref="D56">GEOMEAN(1+O56:AM56)-1</f>
        <v>0.19606176596105729</v>
      </c>
      <c r="E56" s="80" cm="1">
        <f t="array" ref="E56">GEOMEAN(1+Y56:AM56)-1</f>
        <v>0.12869126993060154</v>
      </c>
      <c r="F56" s="80" cm="1">
        <f t="array" ref="F56">GEOMEAN(1+AI56:AM56)-1</f>
        <v>0.20646039521708759</v>
      </c>
      <c r="G56" s="46">
        <v>0.19119641720444125</v>
      </c>
      <c r="H56" s="46">
        <v>0.18991376741743385</v>
      </c>
      <c r="I56" s="46">
        <f t="shared" si="2"/>
        <v>0.3837419357594421</v>
      </c>
      <c r="J56" s="46">
        <f t="shared" si="1"/>
        <v>0.32430493590772153</v>
      </c>
      <c r="K56" s="17">
        <v>0.69695818610114502</v>
      </c>
      <c r="L56" s="18">
        <v>0.12666066287949099</v>
      </c>
      <c r="M56" s="18">
        <v>-0.16112849098572701</v>
      </c>
      <c r="N56" s="18">
        <v>0.86815532404259599</v>
      </c>
      <c r="O56" s="18">
        <v>0.21185193531451399</v>
      </c>
      <c r="P56" s="18">
        <v>0.23037101503781601</v>
      </c>
      <c r="Q56" s="18">
        <v>0.38553348739429699</v>
      </c>
      <c r="R56" s="18">
        <v>0.69350711080402905</v>
      </c>
      <c r="S56" s="18">
        <v>0.56728766252030405</v>
      </c>
      <c r="T56" s="18">
        <v>4.6404730355248197E-2</v>
      </c>
      <c r="U56" s="18">
        <v>0.60776388408963899</v>
      </c>
      <c r="V56" s="18">
        <v>5.1374052563301298E-2</v>
      </c>
      <c r="W56" s="18">
        <v>-0.15854167946438799</v>
      </c>
      <c r="X56" s="18">
        <v>0.75171100280844705</v>
      </c>
      <c r="Y56" s="18">
        <v>0.40109505333717599</v>
      </c>
      <c r="Z56" s="18">
        <v>0.151329247470331</v>
      </c>
      <c r="AA56" s="18">
        <v>0.213067899798729</v>
      </c>
      <c r="AB56" s="18">
        <v>-0.12560236073189299</v>
      </c>
      <c r="AC56" s="18">
        <v>-0.11794737418890899</v>
      </c>
      <c r="AD56" s="18">
        <v>-0.102255426613356</v>
      </c>
      <c r="AE56" s="18">
        <v>0.27938279617220202</v>
      </c>
      <c r="AF56" s="18">
        <v>0.25320237510479898</v>
      </c>
      <c r="AG56" s="18">
        <v>0.28504970549435499</v>
      </c>
      <c r="AH56" s="18">
        <v>-0.13858587667887301</v>
      </c>
      <c r="AI56" s="18">
        <v>0.86508304106739498</v>
      </c>
      <c r="AJ56" s="18">
        <v>8.7811018835756399E-2</v>
      </c>
      <c r="AK56" s="18">
        <v>-0.12856435661407201</v>
      </c>
      <c r="AL56" s="18">
        <v>0.34218600249504499</v>
      </c>
      <c r="AM56" s="19">
        <v>7.7123986775301995E-2</v>
      </c>
    </row>
    <row r="57" spans="1:39" x14ac:dyDescent="0.3">
      <c r="A57" s="24" t="s">
        <v>56</v>
      </c>
      <c r="B57" s="29" cm="1">
        <f t="array" ref="B57">GEOMEAN(1+K57:AM57)-1</f>
        <v>0.21861448321532562</v>
      </c>
      <c r="C57" s="80" cm="1">
        <f t="array" ref="C57">GEOMEAN(1+M57:AM57)-1</f>
        <v>0.21258000269886224</v>
      </c>
      <c r="D57" s="80" cm="1">
        <f t="array" ref="D57">GEOMEAN(1+O57:AM57)-1</f>
        <v>0.20720280013648162</v>
      </c>
      <c r="E57" s="80" cm="1">
        <f t="array" ref="E57">GEOMEAN(1+Y57:AM57)-1</f>
        <v>0.1407027355148871</v>
      </c>
      <c r="F57" s="80" cm="1">
        <f t="array" ref="F57">GEOMEAN(1+AI57:AM57)-1</f>
        <v>0.18607233516331401</v>
      </c>
      <c r="G57" s="46">
        <v>0.17867167396370928</v>
      </c>
      <c r="H57" s="46">
        <v>0.17887493955235459</v>
      </c>
      <c r="I57" s="46">
        <f t="shared" si="2"/>
        <v>0.4482886717999861</v>
      </c>
      <c r="J57" s="46">
        <f t="shared" si="1"/>
        <v>0.41404350479923396</v>
      </c>
      <c r="K57" s="17">
        <v>0.63385491472702005</v>
      </c>
      <c r="L57" s="18">
        <v>3.9272390432587803E-2</v>
      </c>
      <c r="M57" s="18">
        <v>-0.117203651449812</v>
      </c>
      <c r="N57" s="18">
        <v>0.86129181133249499</v>
      </c>
      <c r="O57" s="18">
        <v>0.16016405635302</v>
      </c>
      <c r="P57" s="18">
        <v>0.17876691108315601</v>
      </c>
      <c r="Q57" s="18">
        <v>0.388277420207851</v>
      </c>
      <c r="R57" s="18">
        <v>0.63684601963721199</v>
      </c>
      <c r="S57" s="18">
        <v>0.51693065543094197</v>
      </c>
      <c r="T57" s="18">
        <v>0.24222736957138</v>
      </c>
      <c r="U57" s="18">
        <v>0.58358358262413601</v>
      </c>
      <c r="V57" s="18">
        <v>6.3803516330281307E-2</v>
      </c>
      <c r="W57" s="18">
        <v>-0.171740931683108</v>
      </c>
      <c r="X57" s="18">
        <v>0.88213922152976298</v>
      </c>
      <c r="Y57" s="18">
        <v>0.43572188477933099</v>
      </c>
      <c r="Z57" s="18">
        <v>0.26201074109356798</v>
      </c>
      <c r="AA57" s="18">
        <v>0.15855310973931599</v>
      </c>
      <c r="AB57" s="18">
        <v>-0.10899681898706</v>
      </c>
      <c r="AC57" s="18">
        <v>-0.18291824472739099</v>
      </c>
      <c r="AD57" s="18">
        <v>-7.5293645754399993E-2</v>
      </c>
      <c r="AE57" s="18">
        <v>0.28817897710125701</v>
      </c>
      <c r="AF57" s="18">
        <v>0.24743303622939</v>
      </c>
      <c r="AG57" s="18">
        <v>0.21543259809104201</v>
      </c>
      <c r="AH57" s="18">
        <v>0.112011060783395</v>
      </c>
      <c r="AI57" s="18">
        <v>0.81888161442813501</v>
      </c>
      <c r="AJ57" s="18">
        <v>8.3974072633067998E-2</v>
      </c>
      <c r="AK57" s="18">
        <v>-8.5550297162573105E-2</v>
      </c>
      <c r="AL57" s="18">
        <v>0.29919647362637802</v>
      </c>
      <c r="AM57" s="19">
        <v>2.0696236146673401E-3</v>
      </c>
    </row>
    <row r="58" spans="1:39" x14ac:dyDescent="0.3">
      <c r="A58" s="24" t="s">
        <v>58</v>
      </c>
      <c r="B58" s="29" cm="1">
        <f t="array" ref="B58">GEOMEAN(1+K58:AM58)-1</f>
        <v>0.22134837505043281</v>
      </c>
      <c r="C58" s="80" cm="1">
        <f t="array" ref="C58">GEOMEAN(1+M58:AM58)-1</f>
        <v>0.21881717060971395</v>
      </c>
      <c r="D58" s="80" cm="1">
        <f t="array" ref="D58">GEOMEAN(1+O58:AM58)-1</f>
        <v>0.21141534362131775</v>
      </c>
      <c r="E58" s="80" cm="1">
        <f t="array" ref="E58">GEOMEAN(1+Y58:AM58)-1</f>
        <v>0.13015727056252757</v>
      </c>
      <c r="F58" s="80" cm="1">
        <f t="array" ref="F58">GEOMEAN(1+AI58:AM58)-1</f>
        <v>0.18089820630227194</v>
      </c>
      <c r="G58" s="46">
        <v>0.17369785127138179</v>
      </c>
      <c r="H58" s="46">
        <v>0.17520304282770621</v>
      </c>
      <c r="I58" s="47">
        <f t="shared" si="2"/>
        <v>0.47686473170681992</v>
      </c>
      <c r="J58" s="46">
        <f t="shared" si="1"/>
        <v>0.45832066331647864</v>
      </c>
      <c r="K58" s="17">
        <v>0.570489707608412</v>
      </c>
      <c r="L58" s="18">
        <v>4.5484529434058896E-3</v>
      </c>
      <c r="M58" s="18">
        <v>-4.8051188954213897E-2</v>
      </c>
      <c r="N58" s="18">
        <v>0.81719225727171796</v>
      </c>
      <c r="O58" s="18">
        <v>0.22990767511093901</v>
      </c>
      <c r="P58" s="18">
        <v>0.216764646134019</v>
      </c>
      <c r="Q58" s="18">
        <v>0.37269172625750002</v>
      </c>
      <c r="R58" s="18">
        <v>0.842387756604287</v>
      </c>
      <c r="S58" s="18">
        <v>0.46771167774328998</v>
      </c>
      <c r="T58" s="18">
        <v>0.299640335290772</v>
      </c>
      <c r="U58" s="18">
        <v>0.66311250409171896</v>
      </c>
      <c r="V58" s="18">
        <v>5.3992902882168403E-2</v>
      </c>
      <c r="W58" s="18">
        <v>-0.21676457260901499</v>
      </c>
      <c r="X58" s="18">
        <v>0.94578469718809799</v>
      </c>
      <c r="Y58" s="18">
        <v>0.306685053664838</v>
      </c>
      <c r="Z58" s="18">
        <v>0.238326303364886</v>
      </c>
      <c r="AA58" s="18">
        <v>0.13745051781982701</v>
      </c>
      <c r="AB58" s="18">
        <v>-9.9707182741396398E-3</v>
      </c>
      <c r="AC58" s="18">
        <v>-0.184858713484926</v>
      </c>
      <c r="AD58" s="18">
        <v>-4.2471912061355997E-2</v>
      </c>
      <c r="AE58" s="18">
        <v>0.28980971154224799</v>
      </c>
      <c r="AF58" s="18">
        <v>0.22470355885523899</v>
      </c>
      <c r="AG58" s="18">
        <v>0.17612227955729601</v>
      </c>
      <c r="AH58" s="18">
        <v>3.2858548861027799E-2</v>
      </c>
      <c r="AI58" s="18">
        <v>0.71641815267484799</v>
      </c>
      <c r="AJ58" s="18">
        <v>7.9434091047104999E-2</v>
      </c>
      <c r="AK58" s="18">
        <v>-4.3696190427625202E-2</v>
      </c>
      <c r="AL58" s="18">
        <v>0.324860619614599</v>
      </c>
      <c r="AM58" s="19">
        <v>-2.16888378251637E-2</v>
      </c>
    </row>
    <row r="59" spans="1:39" ht="15" thickBot="1" x14ac:dyDescent="0.35">
      <c r="A59" s="25" t="s">
        <v>59</v>
      </c>
      <c r="B59" s="30" cm="1">
        <f t="array" ref="B59">GEOMEAN(1+K59:AM59)-1</f>
        <v>0.22142860454791369</v>
      </c>
      <c r="C59" s="13" cm="1">
        <f t="array" ref="C59">GEOMEAN(1+M59:AM59)-1</f>
        <v>0.2206846071628894</v>
      </c>
      <c r="D59" s="81" cm="1">
        <f t="array" ref="D59">GEOMEAN(1+O59:AM59)-1</f>
        <v>0.21421920511420511</v>
      </c>
      <c r="E59" s="81" cm="1">
        <f t="array" ref="E59">GEOMEAN(1+Y59:AM59)-1</f>
        <v>0.11672865860100234</v>
      </c>
      <c r="F59" s="81" cm="1">
        <f t="array" ref="F59">GEOMEAN(1+AI59:AM59)-1</f>
        <v>0.17234875399349292</v>
      </c>
      <c r="G59" s="48">
        <v>0.17586563081109877</v>
      </c>
      <c r="H59" s="48">
        <v>0.1777834636287815</v>
      </c>
      <c r="I59" s="48">
        <f t="shared" si="2"/>
        <v>0.47144293265075549</v>
      </c>
      <c r="J59" s="95">
        <f t="shared" si="1"/>
        <v>0.4621724072639406</v>
      </c>
      <c r="K59" s="20">
        <v>0.53486276568743696</v>
      </c>
      <c r="L59" s="21">
        <v>-1.18762965126126E-2</v>
      </c>
      <c r="M59" s="21">
        <v>-0.102158589977092</v>
      </c>
      <c r="N59" s="21">
        <v>0.89525025697818095</v>
      </c>
      <c r="O59" s="21">
        <v>0.22049857066404899</v>
      </c>
      <c r="P59" s="21">
        <v>0.31170524526792898</v>
      </c>
      <c r="Q59" s="21">
        <v>0.275735218722027</v>
      </c>
      <c r="R59" s="21">
        <v>0.97138351516816401</v>
      </c>
      <c r="S59" s="21">
        <v>0.43557060530749903</v>
      </c>
      <c r="T59" s="21">
        <v>0.456144536379544</v>
      </c>
      <c r="U59" s="21">
        <v>0.55375918551087</v>
      </c>
      <c r="V59" s="21">
        <v>0.169555784902435</v>
      </c>
      <c r="W59" s="21">
        <v>-0.199347942986774</v>
      </c>
      <c r="X59" s="21">
        <v>0.99631839117811705</v>
      </c>
      <c r="Y59" s="21">
        <v>0.29960814767848898</v>
      </c>
      <c r="Z59" s="21">
        <v>0.23877463522054801</v>
      </c>
      <c r="AA59" s="21">
        <v>0.149227374036075</v>
      </c>
      <c r="AB59" s="21">
        <v>-4.4953288563172898E-2</v>
      </c>
      <c r="AC59" s="21">
        <v>-0.18207877687622201</v>
      </c>
      <c r="AD59" s="21">
        <v>-6.8113173480702005E-2</v>
      </c>
      <c r="AE59" s="21">
        <v>0.26302690228290998</v>
      </c>
      <c r="AF59" s="21">
        <v>0.171879083702002</v>
      </c>
      <c r="AG59" s="21">
        <v>0.135280321790994</v>
      </c>
      <c r="AH59" s="21">
        <v>4.5255168452748198E-2</v>
      </c>
      <c r="AI59" s="21">
        <v>0.653017684382175</v>
      </c>
      <c r="AJ59" s="21">
        <v>0.11056080978572801</v>
      </c>
      <c r="AK59" s="21">
        <v>-4.6527587116324501E-2</v>
      </c>
      <c r="AL59" s="21">
        <v>0.29781293730751401</v>
      </c>
      <c r="AM59" s="22">
        <v>-2.51359475581149E-2</v>
      </c>
    </row>
    <row r="60" spans="1:39" x14ac:dyDescent="0.3">
      <c r="A60" s="35" t="s">
        <v>60</v>
      </c>
      <c r="B60" s="100" cm="1">
        <f t="array" ref="B60">GEOMEAN(1+K60:AM60)-1</f>
        <v>0.2191320740674807</v>
      </c>
      <c r="C60" s="101" cm="1">
        <f t="array" ref="C60">GEOMEAN(1+M60:AM60)-1</f>
        <v>0.21326929725076504</v>
      </c>
      <c r="D60" s="101" cm="1">
        <f t="array" ref="D60">GEOMEAN(1+O60:AM60)-1</f>
        <v>0.20748258680393783</v>
      </c>
      <c r="E60" s="101" cm="1">
        <f t="array" ref="E60">GEOMEAN(1+Y60:AM60)-1</f>
        <v>0.13681872270135598</v>
      </c>
      <c r="F60" s="101" cm="1">
        <f t="array" ref="F60">GEOMEAN(1+AI60:AM60)-1</f>
        <v>0.18071660629632258</v>
      </c>
      <c r="G60" s="102">
        <v>0.1820381084531732</v>
      </c>
      <c r="H60" s="102">
        <v>0.18149849570417945</v>
      </c>
      <c r="I60" s="103">
        <f t="shared" si="2"/>
        <v>0.44284177058653268</v>
      </c>
      <c r="J60" s="102">
        <f t="shared" si="1"/>
        <v>0.41185631404210854</v>
      </c>
      <c r="K60" s="40">
        <v>0.61140899407819005</v>
      </c>
      <c r="L60" s="41">
        <v>5.0561720753809603E-2</v>
      </c>
      <c r="M60" s="41">
        <v>-0.117203651449812</v>
      </c>
      <c r="N60" s="41">
        <v>0.87915309803048702</v>
      </c>
      <c r="O60" s="41">
        <v>0.19911638619709901</v>
      </c>
      <c r="P60" s="41">
        <v>0.17876691108315601</v>
      </c>
      <c r="Q60" s="41">
        <v>0.38553348739429699</v>
      </c>
      <c r="R60" s="41">
        <v>0.50295363474336097</v>
      </c>
      <c r="S60" s="41">
        <v>0.55470166138792798</v>
      </c>
      <c r="T60" s="41">
        <v>0.27148189123460298</v>
      </c>
      <c r="U60" s="41">
        <v>0.621807637106637</v>
      </c>
      <c r="V60" s="41">
        <v>7.5075359400598798E-2</v>
      </c>
      <c r="W60" s="41">
        <v>-0.173461513120613</v>
      </c>
      <c r="X60" s="41">
        <v>0.94152591994356005</v>
      </c>
      <c r="Y60" s="41">
        <v>0.30867483038191301</v>
      </c>
      <c r="Z60" s="41">
        <v>0.24455136230189201</v>
      </c>
      <c r="AA60" s="41">
        <v>0.20711724898411801</v>
      </c>
      <c r="AB60" s="41">
        <v>-2.36485160637421E-2</v>
      </c>
      <c r="AC60" s="41">
        <v>-0.18260514940737901</v>
      </c>
      <c r="AD60" s="41">
        <v>-2.4395362897070401E-2</v>
      </c>
      <c r="AE60" s="41">
        <v>0.30441662863477897</v>
      </c>
      <c r="AF60" s="41">
        <v>0.228610805460151</v>
      </c>
      <c r="AG60" s="41">
        <v>0.16405119214664399</v>
      </c>
      <c r="AH60" s="41">
        <v>4.45547173506897E-2</v>
      </c>
      <c r="AI60" s="41">
        <v>0.68126157715060298</v>
      </c>
      <c r="AJ60" s="41">
        <v>0.11056080978572801</v>
      </c>
      <c r="AK60" s="41">
        <v>-4.87207036523747E-2</v>
      </c>
      <c r="AL60" s="41">
        <v>0.34003347846984</v>
      </c>
      <c r="AM60" s="42">
        <v>-3.5889012844705401E-2</v>
      </c>
    </row>
    <row r="61" spans="1:39" x14ac:dyDescent="0.3">
      <c r="A61" s="24" t="s">
        <v>61</v>
      </c>
      <c r="B61" s="28" cm="1">
        <f t="array" ref="B61">GEOMEAN(1+K61:AM61)-1</f>
        <v>0.22360257157746366</v>
      </c>
      <c r="C61" s="82" cm="1">
        <f t="array" ref="C61">GEOMEAN(1+M61:AM61)-1</f>
        <v>0.22517449643640619</v>
      </c>
      <c r="D61" s="82" cm="1">
        <f t="array" ref="D61">GEOMEAN(1+O61:AM61)-1</f>
        <v>0.22220516737312579</v>
      </c>
      <c r="E61" s="80" cm="1">
        <f t="array" ref="E61">GEOMEAN(1+Y61:AM61)-1</f>
        <v>0.11512700572591839</v>
      </c>
      <c r="F61" s="82" cm="1">
        <f t="array" ref="F61">GEOMEAN(1+AI61:AM61)-1</f>
        <v>0.20150244500536152</v>
      </c>
      <c r="G61" s="46">
        <v>0.20155309055048659</v>
      </c>
      <c r="H61" s="46">
        <v>0.20413636568307889</v>
      </c>
      <c r="I61" s="46">
        <f t="shared" si="2"/>
        <v>0.42214473387247214</v>
      </c>
      <c r="J61" s="47">
        <f t="shared" si="1"/>
        <v>0.42450300484474157</v>
      </c>
      <c r="K61" s="17">
        <v>0.645792771010544</v>
      </c>
      <c r="L61" s="18">
        <v>-0.121278387169813</v>
      </c>
      <c r="M61" s="18">
        <v>-7.0043061877575405E-2</v>
      </c>
      <c r="N61" s="18">
        <v>0.71505820699620903</v>
      </c>
      <c r="O61" s="18">
        <v>0.24220311149916601</v>
      </c>
      <c r="P61" s="18">
        <v>0.37622471466677299</v>
      </c>
      <c r="Q61" s="18">
        <v>0.33623505514975199</v>
      </c>
      <c r="R61" s="18">
        <v>0.83913637020376697</v>
      </c>
      <c r="S61" s="18">
        <v>0.34935982430594398</v>
      </c>
      <c r="T61" s="18">
        <v>0.55382699259922796</v>
      </c>
      <c r="U61" s="18">
        <v>0.53359858510855396</v>
      </c>
      <c r="V61" s="18">
        <v>0.36601072098883602</v>
      </c>
      <c r="W61" s="18">
        <v>-0.226989906186983</v>
      </c>
      <c r="X61" s="18">
        <v>1.06289782242705</v>
      </c>
      <c r="Y61" s="18">
        <v>0.236439747029217</v>
      </c>
      <c r="Z61" s="18">
        <v>0.136346952670756</v>
      </c>
      <c r="AA61" s="18">
        <v>9.3878739018620899E-2</v>
      </c>
      <c r="AB61" s="18">
        <v>-0.105988138724222</v>
      </c>
      <c r="AC61" s="18">
        <v>-7.3115990942049999E-2</v>
      </c>
      <c r="AD61" s="18">
        <v>-8.20428706876912E-2</v>
      </c>
      <c r="AE61" s="18">
        <v>0.32105668662273101</v>
      </c>
      <c r="AF61" s="18">
        <v>0.190264859360192</v>
      </c>
      <c r="AG61" s="18">
        <v>6.7717587927115505E-2</v>
      </c>
      <c r="AH61" s="18">
        <v>4.3220435736890599E-2</v>
      </c>
      <c r="AI61" s="18">
        <v>0.77648396547485998</v>
      </c>
      <c r="AJ61" s="18">
        <v>9.1453311660432801E-2</v>
      </c>
      <c r="AK61" s="18">
        <v>-5.5971783868125499E-2</v>
      </c>
      <c r="AL61" s="18">
        <v>0.381802074328708</v>
      </c>
      <c r="AM61" s="19">
        <v>-1.00209040910689E-2</v>
      </c>
    </row>
    <row r="62" spans="1:39" x14ac:dyDescent="0.3">
      <c r="A62" s="24" t="s">
        <v>62</v>
      </c>
      <c r="B62" s="29" cm="1">
        <f t="array" ref="B62">GEOMEAN(1+K62:AM62)-1</f>
        <v>0.21184464804018632</v>
      </c>
      <c r="C62" s="80" cm="1">
        <f t="array" ref="C62">GEOMEAN(1+M62:AM62)-1</f>
        <v>0.21161808422286277</v>
      </c>
      <c r="D62" s="80" cm="1">
        <f t="array" ref="D62">GEOMEAN(1+O62:AM62)-1</f>
        <v>0.19632810752594954</v>
      </c>
      <c r="E62" s="82" cm="1">
        <f t="array" ref="E62">GEOMEAN(1+Y62:AM62)-1</f>
        <v>0.12008663392042296</v>
      </c>
      <c r="F62" s="80" cm="1">
        <f t="array" ref="F62">GEOMEAN(1+AI62:AM62)-1</f>
        <v>0.14258406189592732</v>
      </c>
      <c r="G62" s="46">
        <v>0.2161519109596865</v>
      </c>
      <c r="H62" s="46">
        <v>0.21458587634506865</v>
      </c>
      <c r="I62" s="46">
        <f t="shared" si="2"/>
        <v>0.33923665957321986</v>
      </c>
      <c r="J62" s="46">
        <f t="shared" si="1"/>
        <v>0.34065656911855019</v>
      </c>
      <c r="K62" s="17">
        <v>0.287846915101031</v>
      </c>
      <c r="L62" s="18">
        <v>0.14609896254547</v>
      </c>
      <c r="M62" s="18">
        <v>7.3863219698236504E-2</v>
      </c>
      <c r="N62" s="18">
        <v>0.87788301482248998</v>
      </c>
      <c r="O62" s="18">
        <v>0.103654978409043</v>
      </c>
      <c r="P62" s="18">
        <v>0.117826121077858</v>
      </c>
      <c r="Q62" s="18">
        <v>7.9081880673513003E-2</v>
      </c>
      <c r="R62" s="18">
        <v>1.4482886152716501</v>
      </c>
      <c r="S62" s="18">
        <v>0.37073964512678897</v>
      </c>
      <c r="T62" s="18">
        <v>0.835682490986563</v>
      </c>
      <c r="U62" s="18">
        <v>0.25204078963989801</v>
      </c>
      <c r="V62" s="18">
        <v>0.14861860148412001</v>
      </c>
      <c r="W62" s="18">
        <v>-0.33997863908696602</v>
      </c>
      <c r="X62" s="18">
        <v>1.0713524095501401</v>
      </c>
      <c r="Y62" s="18">
        <v>0.19720125589517501</v>
      </c>
      <c r="Z62" s="18">
        <v>7.4381804367047E-2</v>
      </c>
      <c r="AA62" s="18">
        <v>0.13635093970791501</v>
      </c>
      <c r="AB62" s="18">
        <v>-7.15399237232857E-2</v>
      </c>
      <c r="AC62" s="18">
        <v>-2.9152637983454199E-2</v>
      </c>
      <c r="AD62" s="18">
        <v>-7.8065609450009399E-2</v>
      </c>
      <c r="AE62" s="18">
        <v>0.59379974024359805</v>
      </c>
      <c r="AF62" s="18">
        <v>0.25770198547019302</v>
      </c>
      <c r="AG62" s="18">
        <v>0.24345283843138901</v>
      </c>
      <c r="AH62" s="18">
        <v>-7.0519872250311602E-2</v>
      </c>
      <c r="AI62" s="18">
        <v>0.84945506347536504</v>
      </c>
      <c r="AJ62" s="18">
        <v>2.7957617905273201E-2</v>
      </c>
      <c r="AK62" s="18">
        <v>-0.14738363189669701</v>
      </c>
      <c r="AL62" s="18">
        <v>0.335683511420166</v>
      </c>
      <c r="AM62" s="19">
        <v>-0.10057576580166799</v>
      </c>
    </row>
    <row r="63" spans="1:39" x14ac:dyDescent="0.3">
      <c r="A63" s="24" t="s">
        <v>63</v>
      </c>
      <c r="B63" s="29" cm="1">
        <f t="array" ref="B63">GEOMEAN(1+K63:AM63)-1</f>
        <v>0.16963676588769161</v>
      </c>
      <c r="C63" s="80" cm="1">
        <f t="array" ref="C63">GEOMEAN(1+M63:AM63)-1</f>
        <v>0.16358894406866176</v>
      </c>
      <c r="D63" s="80" cm="1">
        <f t="array" ref="D63">GEOMEAN(1+O63:AM63)-1</f>
        <v>0.16462992008303123</v>
      </c>
      <c r="E63" s="80" cm="1">
        <f t="array" ref="E63">GEOMEAN(1+Y63:AM63)-1</f>
        <v>8.3431060961773884E-2</v>
      </c>
      <c r="F63" s="80" cm="1">
        <f t="array" ref="F63">GEOMEAN(1+AI63:AM63)-1</f>
        <v>0.10639433563957135</v>
      </c>
      <c r="G63" s="46">
        <v>0.2222395646557066</v>
      </c>
      <c r="H63" s="46">
        <v>0.22253230340821428</v>
      </c>
      <c r="I63" s="46">
        <f t="shared" si="2"/>
        <v>0.14002353779826093</v>
      </c>
      <c r="J63" s="46">
        <f t="shared" si="1"/>
        <v>0.11266206244590599</v>
      </c>
      <c r="K63" s="17">
        <v>0.63133668271854204</v>
      </c>
      <c r="L63" s="18">
        <v>-3.5400794894083903E-2</v>
      </c>
      <c r="M63" s="18">
        <v>-0.18215436895181</v>
      </c>
      <c r="N63" s="18">
        <v>0.61889583816257998</v>
      </c>
      <c r="O63" s="18">
        <v>0.22281469701818399</v>
      </c>
      <c r="P63" s="18">
        <v>0.12671249465175599</v>
      </c>
      <c r="Q63" s="18">
        <v>0.110032286871734</v>
      </c>
      <c r="R63" s="18">
        <v>0.89655363287013201</v>
      </c>
      <c r="S63" s="18">
        <v>0.72189315823120803</v>
      </c>
      <c r="T63" s="18">
        <v>0.39103714358070502</v>
      </c>
      <c r="U63" s="18">
        <v>0.35354503561220102</v>
      </c>
      <c r="V63" s="18">
        <v>0.27989088991596001</v>
      </c>
      <c r="W63" s="18">
        <v>-0.45708353607007901</v>
      </c>
      <c r="X63" s="18">
        <v>1.07721404082495</v>
      </c>
      <c r="Y63" s="18">
        <v>0.100338213304352</v>
      </c>
      <c r="Z63" s="18">
        <v>2.0033483410024599E-2</v>
      </c>
      <c r="AA63" s="18">
        <v>4.5172777651151498E-2</v>
      </c>
      <c r="AB63" s="18">
        <v>2.00103589690293E-2</v>
      </c>
      <c r="AC63" s="18">
        <v>-1.5653573007317401E-2</v>
      </c>
      <c r="AD63" s="18">
        <v>-9.2984891368311798E-2</v>
      </c>
      <c r="AE63" s="18">
        <v>0.34186074609992201</v>
      </c>
      <c r="AF63" s="18">
        <v>0.61702948046394301</v>
      </c>
      <c r="AG63" s="18">
        <v>8.7045389441744198E-2</v>
      </c>
      <c r="AH63" s="18">
        <v>-0.20365608774392399</v>
      </c>
      <c r="AI63" s="18">
        <v>0.69459278939956604</v>
      </c>
      <c r="AJ63" s="18">
        <v>-5.7616395735621898E-2</v>
      </c>
      <c r="AK63" s="18">
        <v>-0.33331017977121502</v>
      </c>
      <c r="AL63" s="18">
        <v>0.636721252459863</v>
      </c>
      <c r="AM63" s="19">
        <v>-4.8611062871603897E-2</v>
      </c>
    </row>
    <row r="64" spans="1:39" ht="15" thickBot="1" x14ac:dyDescent="0.35">
      <c r="A64" s="25" t="s">
        <v>64</v>
      </c>
      <c r="B64" s="30" cm="1">
        <f t="array" ref="B64">GEOMEAN(1+K64:AM64)-1</f>
        <v>0.1081870874381039</v>
      </c>
      <c r="C64" s="81" cm="1">
        <f t="array" ref="C64">GEOMEAN(1+M64:AM64)-1</f>
        <v>0.10046956889191572</v>
      </c>
      <c r="D64" s="81" cm="1">
        <f t="array" ref="D64">GEOMEAN(1+O64:AM64)-1</f>
        <v>6.9569781723855639E-2</v>
      </c>
      <c r="E64" s="81" cm="1">
        <f t="array" ref="E64">GEOMEAN(1+Y64:AM64)-1</f>
        <v>4.07186698644737E-2</v>
      </c>
      <c r="F64" s="81" cm="1">
        <f t="array" ref="F64">GEOMEAN(1+AI64:AM64)-1</f>
        <v>4.3383523460558182E-2</v>
      </c>
      <c r="G64" s="48">
        <v>0.31060852167852537</v>
      </c>
      <c r="H64" s="48">
        <v>0.3153006608862734</v>
      </c>
      <c r="I64" s="48">
        <f t="shared" si="2"/>
        <v>-9.7649955654282736E-2</v>
      </c>
      <c r="J64" s="48">
        <f t="shared" si="1"/>
        <v>-0.12067347656991524</v>
      </c>
      <c r="K64" s="20">
        <v>0.59467580528771002</v>
      </c>
      <c r="L64" s="21">
        <v>-6.9963359295681996E-2</v>
      </c>
      <c r="M64" s="21">
        <v>0.29941699141157901</v>
      </c>
      <c r="N64" s="21">
        <v>0.89946092052400906</v>
      </c>
      <c r="O64" s="21">
        <v>-8.8582524755601896E-2</v>
      </c>
      <c r="P64" s="21">
        <v>-7.7781073882043694E-2</v>
      </c>
      <c r="Q64" s="21">
        <v>2.4330067411394402E-2</v>
      </c>
      <c r="R64" s="21">
        <v>0.57878322173128904</v>
      </c>
      <c r="S64" s="21">
        <v>0.20306884440430301</v>
      </c>
      <c r="T64" s="21">
        <v>0.47100611708288498</v>
      </c>
      <c r="U64" s="21">
        <v>0.18877348974262001</v>
      </c>
      <c r="V64" s="21">
        <v>-8.2121911834732497E-2</v>
      </c>
      <c r="W64" s="21">
        <v>-0.53148071227406601</v>
      </c>
      <c r="X64" s="21">
        <v>1.4010299304329401</v>
      </c>
      <c r="Y64" s="21">
        <v>6.8055564841125599E-2</v>
      </c>
      <c r="Z64" s="21">
        <v>-0.18348717131516701</v>
      </c>
      <c r="AA64" s="21">
        <v>9.6012809609187899E-2</v>
      </c>
      <c r="AB64" s="21">
        <v>-0.18379321302257501</v>
      </c>
      <c r="AC64" s="21">
        <v>-7.9018986016006501E-2</v>
      </c>
      <c r="AD64" s="21">
        <v>-0.131724138546816</v>
      </c>
      <c r="AE64" s="21">
        <v>0.44094429099926202</v>
      </c>
      <c r="AF64" s="21">
        <v>0.31831364877589702</v>
      </c>
      <c r="AG64" s="21">
        <v>0.34375034603793098</v>
      </c>
      <c r="AH64" s="21">
        <v>-7.5909111446789607E-2</v>
      </c>
      <c r="AI64" s="21">
        <v>1.1321336538200999</v>
      </c>
      <c r="AJ64" s="21">
        <v>-8.3502148094873899E-2</v>
      </c>
      <c r="AK64" s="21">
        <v>-0.38495123343392101</v>
      </c>
      <c r="AL64" s="21">
        <v>0.21152066016527299</v>
      </c>
      <c r="AM64" s="22">
        <v>-0.15075378791261501</v>
      </c>
    </row>
    <row r="65" spans="1:39" x14ac:dyDescent="0.3">
      <c r="A65" s="23" t="s">
        <v>65</v>
      </c>
      <c r="B65" s="27" cm="1">
        <f t="array" ref="B65">GEOMEAN(1+K65:AM65)-1</f>
        <v>0.22719726791250339</v>
      </c>
      <c r="C65" s="75" cm="1">
        <f t="array" ref="C65">GEOMEAN(1+M65:AM65)-1</f>
        <v>0.21570221416174218</v>
      </c>
      <c r="D65" s="75" cm="1">
        <f t="array" ref="D65">GEOMEAN(1+O65:AM65)-1</f>
        <v>0.20805288177082892</v>
      </c>
      <c r="E65" s="75" cm="1">
        <f t="array" ref="E65">GEOMEAN(1+Y65:AM65)-1</f>
        <v>0.14363712832154629</v>
      </c>
      <c r="F65" s="12" cm="1">
        <f t="array" ref="F65">GEOMEAN(1+AI65:AM65)-1</f>
        <v>0.32880163323590494</v>
      </c>
      <c r="G65" s="45">
        <v>0.24195728286771745</v>
      </c>
      <c r="H65" s="45">
        <v>0.23907966286363394</v>
      </c>
      <c r="I65" s="45">
        <f t="shared" si="2"/>
        <v>0.36650796808266267</v>
      </c>
      <c r="J65" s="45">
        <f t="shared" si="1"/>
        <v>0.32283891248379509</v>
      </c>
      <c r="K65" s="14">
        <v>0.58779315128068899</v>
      </c>
      <c r="L65" s="15">
        <v>0.222893061456059</v>
      </c>
      <c r="M65" s="15">
        <v>-9.71043526467541E-3</v>
      </c>
      <c r="N65" s="15">
        <v>0.74752647021163499</v>
      </c>
      <c r="O65" s="15">
        <v>0.509796934409109</v>
      </c>
      <c r="P65" s="15">
        <v>0.24653349605793801</v>
      </c>
      <c r="Q65" s="15">
        <v>0.83290744149212403</v>
      </c>
      <c r="R65" s="15">
        <v>0.61250584380085005</v>
      </c>
      <c r="S65" s="15">
        <v>0.42204612430550797</v>
      </c>
      <c r="T65" s="15">
        <v>-0.183972730258574</v>
      </c>
      <c r="U65" s="15">
        <v>0.39993138330086497</v>
      </c>
      <c r="V65" s="15">
        <v>1.8530793294578601E-2</v>
      </c>
      <c r="W65" s="15">
        <v>-0.19907386683242401</v>
      </c>
      <c r="X65" s="15">
        <v>1.0430024629771</v>
      </c>
      <c r="Y65" s="15">
        <v>0.29969790438545502</v>
      </c>
      <c r="Z65" s="15">
        <v>9.3644739643733002E-2</v>
      </c>
      <c r="AA65" s="15">
        <v>0.14483416203902399</v>
      </c>
      <c r="AB65" s="15">
        <v>-0.131062488438905</v>
      </c>
      <c r="AC65" s="15">
        <v>-0.14067463395544499</v>
      </c>
      <c r="AD65" s="15">
        <v>-0.25069402789478901</v>
      </c>
      <c r="AE65" s="15">
        <v>0.29839635211749299</v>
      </c>
      <c r="AF65" s="15">
        <v>0.56508119657218203</v>
      </c>
      <c r="AG65" s="15">
        <v>0.35385459061380897</v>
      </c>
      <c r="AH65" s="15">
        <v>-0.27849373322163401</v>
      </c>
      <c r="AI65" s="15">
        <v>1.4326291655015699</v>
      </c>
      <c r="AJ65" s="15">
        <v>0.21566082863210401</v>
      </c>
      <c r="AK65" s="15">
        <v>-4.81963675375323E-2</v>
      </c>
      <c r="AL65" s="15">
        <v>0.46350175862212001</v>
      </c>
      <c r="AM65" s="16">
        <v>5.7078207010403696E-3</v>
      </c>
    </row>
    <row r="66" spans="1:39" x14ac:dyDescent="0.3">
      <c r="A66" s="24" t="s">
        <v>66</v>
      </c>
      <c r="B66" s="29" cm="1">
        <f t="array" ref="B66">GEOMEAN(1+K66:AM66)-1</f>
        <v>0.20646775694123476</v>
      </c>
      <c r="C66" s="80" cm="1">
        <f t="array" ref="C66">GEOMEAN(1+M66:AM66)-1</f>
        <v>0.2044958934036869</v>
      </c>
      <c r="D66" s="80" cm="1">
        <f t="array" ref="D66">GEOMEAN(1+O66:AM66)-1</f>
        <v>0.20476177678092822</v>
      </c>
      <c r="E66" s="80" cm="1">
        <f t="array" ref="E66">GEOMEAN(1+Y66:AM66)-1</f>
        <v>0.11883666928884606</v>
      </c>
      <c r="F66" s="80" cm="1">
        <f t="array" ref="F66">GEOMEAN(1+AI66:AM66)-1</f>
        <v>0.21833003936924222</v>
      </c>
      <c r="G66" s="46">
        <v>0.195387675441454</v>
      </c>
      <c r="H66" s="46">
        <v>0.19498629448016733</v>
      </c>
      <c r="I66" s="46">
        <f t="shared" si="2"/>
        <v>0.34776892136034965</v>
      </c>
      <c r="J66" s="46">
        <f t="shared" si="1"/>
        <v>0.33837197518794582</v>
      </c>
      <c r="K66" s="17">
        <v>0.47410370590861101</v>
      </c>
      <c r="L66" s="18">
        <v>3.2010456308316601E-2</v>
      </c>
      <c r="M66" s="18">
        <v>-0.12213356988410499</v>
      </c>
      <c r="N66" s="18">
        <v>0.64356085595080104</v>
      </c>
      <c r="O66" s="18">
        <v>0.37078125158188602</v>
      </c>
      <c r="P66" s="18">
        <v>0.227297926242576</v>
      </c>
      <c r="Q66" s="18">
        <v>0.62745178387005396</v>
      </c>
      <c r="R66" s="18">
        <v>0.88060297829314405</v>
      </c>
      <c r="S66" s="18">
        <v>0.324082368943511</v>
      </c>
      <c r="T66" s="18">
        <v>-5.9137297375553297E-3</v>
      </c>
      <c r="U66" s="18">
        <v>0.66984905685273699</v>
      </c>
      <c r="V66" s="18">
        <v>0.18706230191797901</v>
      </c>
      <c r="W66" s="18">
        <v>-0.19166626978815099</v>
      </c>
      <c r="X66" s="18">
        <v>0.79980401813265101</v>
      </c>
      <c r="Y66" s="18">
        <v>0.28530197177726602</v>
      </c>
      <c r="Z66" s="18">
        <v>0.225587205285219</v>
      </c>
      <c r="AA66" s="18">
        <v>6.3545831437017197E-2</v>
      </c>
      <c r="AB66" s="18">
        <v>2.75162177108705E-2</v>
      </c>
      <c r="AC66" s="18">
        <v>-0.25179875486587999</v>
      </c>
      <c r="AD66" s="18">
        <v>-0.13385339488404599</v>
      </c>
      <c r="AE66" s="18">
        <v>0.23847425177630499</v>
      </c>
      <c r="AF66" s="18">
        <v>0.27806435532671497</v>
      </c>
      <c r="AG66" s="18">
        <v>0.23743648292535299</v>
      </c>
      <c r="AH66" s="18">
        <v>-8.1225629868216701E-2</v>
      </c>
      <c r="AI66" s="18">
        <v>1.0139909817066399</v>
      </c>
      <c r="AJ66" s="18">
        <v>0.12071327508001101</v>
      </c>
      <c r="AK66" s="18">
        <v>-7.5609236985381897E-2</v>
      </c>
      <c r="AL66" s="18">
        <v>0.36617601373313302</v>
      </c>
      <c r="AM66" s="19">
        <v>-5.83045523900146E-2</v>
      </c>
    </row>
    <row r="67" spans="1:39" x14ac:dyDescent="0.3">
      <c r="A67" s="24" t="s">
        <v>67</v>
      </c>
      <c r="B67" s="29" cm="1">
        <f t="array" ref="B67">GEOMEAN(1+K67:AM67)-1</f>
        <v>0.21972256631489162</v>
      </c>
      <c r="C67" s="80" cm="1">
        <f t="array" ref="C67">GEOMEAN(1+M67:AM67)-1</f>
        <v>0.22513786324108875</v>
      </c>
      <c r="D67" s="80" cm="1">
        <f t="array" ref="D67">GEOMEAN(1+O67:AM67)-1</f>
        <v>0.22200727977651447</v>
      </c>
      <c r="E67" s="82" cm="1">
        <f t="array" ref="E67">GEOMEAN(1+Y67:AM67)-1</f>
        <v>0.14737180087434631</v>
      </c>
      <c r="F67" s="80" cm="1">
        <f t="array" ref="F67">GEOMEAN(1+AI67:AM67)-1</f>
        <v>0.20311653221965109</v>
      </c>
      <c r="G67" s="46">
        <v>0.185598234451788</v>
      </c>
      <c r="H67" s="46">
        <v>0.18706803334832389</v>
      </c>
      <c r="I67" s="46">
        <f t="shared" si="2"/>
        <v>0.43752878764658476</v>
      </c>
      <c r="J67" s="46">
        <f t="shared" si="1"/>
        <v>0.46303938671310479</v>
      </c>
      <c r="K67" s="17">
        <v>0.31446010181994399</v>
      </c>
      <c r="L67" s="18">
        <v>4.22105450364585E-3</v>
      </c>
      <c r="M67" s="18">
        <v>-0.15771825037399401</v>
      </c>
      <c r="N67" s="18">
        <v>0.89972946012813604</v>
      </c>
      <c r="O67" s="18">
        <v>0.41493256243548798</v>
      </c>
      <c r="P67" s="18">
        <v>0.157808379636867</v>
      </c>
      <c r="Q67" s="18">
        <v>0.60107355557644404</v>
      </c>
      <c r="R67" s="18">
        <v>0.92998031016587801</v>
      </c>
      <c r="S67" s="18">
        <v>0.34471785337982602</v>
      </c>
      <c r="T67" s="18">
        <v>0.21774499044954501</v>
      </c>
      <c r="U67" s="18">
        <v>0.50158837619163399</v>
      </c>
      <c r="V67" s="18">
        <v>8.8348749292039605E-2</v>
      </c>
      <c r="W67" s="18">
        <v>-0.29051532413627501</v>
      </c>
      <c r="X67" s="18">
        <v>0.98836510720761295</v>
      </c>
      <c r="Y67" s="18">
        <v>0.30661863303437498</v>
      </c>
      <c r="Z67" s="18">
        <v>0.229342558890931</v>
      </c>
      <c r="AA67" s="18">
        <v>0.107020663095912</v>
      </c>
      <c r="AB67" s="18">
        <v>-2.3954044452082799E-2</v>
      </c>
      <c r="AC67" s="18">
        <v>-0.115733645053217</v>
      </c>
      <c r="AD67" s="18">
        <v>-1.39618127075254E-2</v>
      </c>
      <c r="AE67" s="18">
        <v>0.28929176244814903</v>
      </c>
      <c r="AF67" s="18">
        <v>0.28791789565592901</v>
      </c>
      <c r="AG67" s="18">
        <v>0.25297157229903899</v>
      </c>
      <c r="AH67" s="18">
        <v>-9.3530423595589197E-3</v>
      </c>
      <c r="AI67" s="18">
        <v>0.78322205750448703</v>
      </c>
      <c r="AJ67" s="18">
        <v>0.17749969903285201</v>
      </c>
      <c r="AK67" s="18">
        <v>-4.8501118747371098E-2</v>
      </c>
      <c r="AL67" s="18">
        <v>0.31201142826460598</v>
      </c>
      <c r="AM67" s="19">
        <v>-3.8329396930958499E-2</v>
      </c>
    </row>
    <row r="68" spans="1:39" x14ac:dyDescent="0.3">
      <c r="A68" s="24" t="s">
        <v>57</v>
      </c>
      <c r="B68" s="29" cm="1">
        <f t="array" ref="B68">GEOMEAN(1+K68:AM68)-1</f>
        <v>0.23663897787139443</v>
      </c>
      <c r="C68" s="80" cm="1">
        <f t="array" ref="C68">GEOMEAN(1+M68:AM68)-1</f>
        <v>0.23653490369439334</v>
      </c>
      <c r="D68" s="80" cm="1">
        <f t="array" ref="D68">GEOMEAN(1+O68:AM68)-1</f>
        <v>0.22594798538202099</v>
      </c>
      <c r="E68" s="80" cm="1">
        <f t="array" ref="E68">GEOMEAN(1+Y68:AM68)-1</f>
        <v>0.14051030957210076</v>
      </c>
      <c r="F68" s="80" cm="1">
        <f t="array" ref="F68">GEOMEAN(1+AI68:AM68)-1</f>
        <v>0.20053714507018983</v>
      </c>
      <c r="G68" s="46">
        <v>0.17812479324704059</v>
      </c>
      <c r="H68" s="46">
        <v>0.17993499446231695</v>
      </c>
      <c r="I68" s="46">
        <f t="shared" si="2"/>
        <v>0.55085527554525548</v>
      </c>
      <c r="J68" s="46">
        <f t="shared" si="1"/>
        <v>0.54473510381587498</v>
      </c>
      <c r="K68" s="17">
        <v>0.41392469367223</v>
      </c>
      <c r="L68" s="18">
        <v>8.4042894950469196E-2</v>
      </c>
      <c r="M68" s="18">
        <v>-6.22922044335152E-2</v>
      </c>
      <c r="N68" s="18">
        <v>1.02163905231312</v>
      </c>
      <c r="O68" s="18">
        <v>0.51311180880190799</v>
      </c>
      <c r="P68" s="18">
        <v>0.212435463975266</v>
      </c>
      <c r="Q68" s="18">
        <v>0.42392963369932501</v>
      </c>
      <c r="R68" s="18">
        <v>1.10937790897473</v>
      </c>
      <c r="S68" s="18">
        <v>0.36374904996491297</v>
      </c>
      <c r="T68" s="18">
        <v>0.25782540211872002</v>
      </c>
      <c r="U68" s="18">
        <v>0.51739069714095098</v>
      </c>
      <c r="V68" s="18">
        <v>0.143967704978607</v>
      </c>
      <c r="W68" s="18">
        <v>-0.28532296515493299</v>
      </c>
      <c r="X68" s="18">
        <v>0.93270011401115904</v>
      </c>
      <c r="Y68" s="18">
        <v>0.233540072731136</v>
      </c>
      <c r="Z68" s="18">
        <v>0.22361516734634601</v>
      </c>
      <c r="AA68" s="18">
        <v>0.22905966732876501</v>
      </c>
      <c r="AB68" s="18">
        <v>-5.7252053683170399E-2</v>
      </c>
      <c r="AC68" s="18">
        <v>-0.12483687765663599</v>
      </c>
      <c r="AD68" s="18">
        <v>-5.0796611546759997E-2</v>
      </c>
      <c r="AE68" s="18">
        <v>0.26782734142711501</v>
      </c>
      <c r="AF68" s="18">
        <v>0.25452020848016899</v>
      </c>
      <c r="AG68" s="18">
        <v>0.203361438393446</v>
      </c>
      <c r="AH68" s="18">
        <v>3.6242478591112202E-2</v>
      </c>
      <c r="AI68" s="18">
        <v>0.625950436124181</v>
      </c>
      <c r="AJ68" s="18">
        <v>0.20312487143036201</v>
      </c>
      <c r="AK68" s="18">
        <v>-6.7008145607413597E-2</v>
      </c>
      <c r="AL68" s="18">
        <v>0.330477501588546</v>
      </c>
      <c r="AM68" s="19">
        <v>2.7009863040962302E-2</v>
      </c>
    </row>
    <row r="69" spans="1:39" ht="15" thickBot="1" x14ac:dyDescent="0.35">
      <c r="A69" s="25" t="s">
        <v>68</v>
      </c>
      <c r="B69" s="94" cm="1">
        <f t="array" ref="B69">GEOMEAN(1+K69:AM69)-1</f>
        <v>0.23971691896665814</v>
      </c>
      <c r="C69" s="13" cm="1">
        <f t="array" ref="C69">GEOMEAN(1+M69:AM69)-1</f>
        <v>0.24116032555673939</v>
      </c>
      <c r="D69" s="13" cm="1">
        <f t="array" ref="D69">GEOMEAN(1+O69:AM69)-1</f>
        <v>0.22923460084398739</v>
      </c>
      <c r="E69" s="81" cm="1">
        <f t="array" ref="E69">GEOMEAN(1+Y69:AM69)-1</f>
        <v>0.14164160754128363</v>
      </c>
      <c r="F69" s="81" cm="1">
        <f t="array" ref="F69">GEOMEAN(1+AI69:AM69)-1</f>
        <v>0.17741358243628902</v>
      </c>
      <c r="G69" s="48">
        <v>0.1738848121180751</v>
      </c>
      <c r="H69" s="48">
        <v>0.17546945298553321</v>
      </c>
      <c r="I69" s="95">
        <f t="shared" si="2"/>
        <v>0.58198828251938184</v>
      </c>
      <c r="J69" s="95">
        <f t="shared" si="1"/>
        <v>0.58495839591719501</v>
      </c>
      <c r="K69" s="20">
        <v>0.46772799712823099</v>
      </c>
      <c r="L69" s="21">
        <v>1.4740175713987801E-2</v>
      </c>
      <c r="M69" s="21">
        <v>-2.8129035820745399E-2</v>
      </c>
      <c r="N69" s="21">
        <v>1.01778490244954</v>
      </c>
      <c r="O69" s="21">
        <v>0.20827856061854</v>
      </c>
      <c r="P69" s="21">
        <v>0.28864255117931398</v>
      </c>
      <c r="Q69" s="21">
        <v>0.303914245296795</v>
      </c>
      <c r="R69" s="21">
        <v>1.25710224404578</v>
      </c>
      <c r="S69" s="21">
        <v>0.40464578691445602</v>
      </c>
      <c r="T69" s="21">
        <v>0.33707129875208802</v>
      </c>
      <c r="U69" s="21">
        <v>0.48432604346195801</v>
      </c>
      <c r="V69" s="21">
        <v>0.18191891396357099</v>
      </c>
      <c r="W69" s="21">
        <v>-0.26220124928226901</v>
      </c>
      <c r="X69" s="21">
        <v>1.1431200085934301</v>
      </c>
      <c r="Y69" s="21">
        <v>0.25108035423722402</v>
      </c>
      <c r="Z69" s="21">
        <v>0.21814531869597001</v>
      </c>
      <c r="AA69" s="21">
        <v>0.20197753504391699</v>
      </c>
      <c r="AB69" s="21">
        <v>-4.88734470351673E-2</v>
      </c>
      <c r="AC69" s="21">
        <v>-0.11849971493929499</v>
      </c>
      <c r="AD69" s="21">
        <v>-4.0190147493747198E-2</v>
      </c>
      <c r="AE69" s="21">
        <v>0.27832935711914403</v>
      </c>
      <c r="AF69" s="21">
        <v>0.32209938065266902</v>
      </c>
      <c r="AG69" s="21">
        <v>0.17953592747035199</v>
      </c>
      <c r="AH69" s="21">
        <v>9.6874545456272096E-2</v>
      </c>
      <c r="AI69" s="21">
        <v>0.59025145216151198</v>
      </c>
      <c r="AJ69" s="21">
        <v>9.11690686769875E-2</v>
      </c>
      <c r="AK69" s="21">
        <v>-6.1422056302981899E-2</v>
      </c>
      <c r="AL69" s="21">
        <v>0.344061126864666</v>
      </c>
      <c r="AM69" s="22">
        <v>3.3708280293549997E-2</v>
      </c>
    </row>
    <row r="70" spans="1:39" x14ac:dyDescent="0.3">
      <c r="A70" s="35" t="s">
        <v>69</v>
      </c>
      <c r="B70" s="39" cm="1">
        <f t="array" ref="B70">GEOMEAN(1+K70:AM70)-1</f>
        <v>0.22036461107767602</v>
      </c>
      <c r="C70" s="101" cm="1">
        <f t="array" ref="C70">GEOMEAN(1+M70:AM70)-1</f>
        <v>0.22050743210997714</v>
      </c>
      <c r="D70" s="86" cm="1">
        <f t="array" ref="D70">GEOMEAN(1+O70:AM70)-1</f>
        <v>0.2205574243126458</v>
      </c>
      <c r="E70" s="86" cm="1">
        <f t="array" ref="E70">GEOMEAN(1+Y70:AM70)-1</f>
        <v>0.133476866002749</v>
      </c>
      <c r="F70" s="101" cm="1">
        <f t="array" ref="F70">GEOMEAN(1+AI70:AM70)-1</f>
        <v>0.18261759803845079</v>
      </c>
      <c r="G70" s="102">
        <v>0.17737738545902645</v>
      </c>
      <c r="H70" s="102">
        <v>0.17637358296282482</v>
      </c>
      <c r="I70" s="103">
        <f t="shared" ref="I70:I113" si="3">(B70-$B$2)/G70</f>
        <v>0.4614264386636146</v>
      </c>
      <c r="J70" s="103">
        <f t="shared" ref="J70:J114" si="4">(C70-$B$2)/H70</f>
        <v>0.46486233894451334</v>
      </c>
      <c r="K70" s="40">
        <v>0.41326356348234899</v>
      </c>
      <c r="L70" s="41">
        <v>5.0470409905897497E-2</v>
      </c>
      <c r="M70" s="41">
        <v>-0.13015611595483301</v>
      </c>
      <c r="N70" s="41">
        <v>0.71078262974033801</v>
      </c>
      <c r="O70" s="41">
        <v>0.40563704391980199</v>
      </c>
      <c r="P70" s="41">
        <v>0.157808379636867</v>
      </c>
      <c r="Q70" s="41">
        <v>0.66935573011851401</v>
      </c>
      <c r="R70" s="41">
        <v>1.07909550265691</v>
      </c>
      <c r="S70" s="41">
        <v>0.324082368943511</v>
      </c>
      <c r="T70" s="41">
        <v>0.24925596130517899</v>
      </c>
      <c r="U70" s="41">
        <v>0.56241394568599001</v>
      </c>
      <c r="V70" s="41">
        <v>8.8348749292039605E-2</v>
      </c>
      <c r="W70" s="41">
        <v>-0.25387220927572401</v>
      </c>
      <c r="X70" s="41">
        <v>0.878834195719008</v>
      </c>
      <c r="Y70" s="41">
        <v>0.257620021285277</v>
      </c>
      <c r="Z70" s="41">
        <v>0.21554292346463599</v>
      </c>
      <c r="AA70" s="41">
        <v>0.22917030319515799</v>
      </c>
      <c r="AB70" s="41">
        <v>-5.5728212076824803E-2</v>
      </c>
      <c r="AC70" s="41">
        <v>-6.7830087347549306E-2</v>
      </c>
      <c r="AD70" s="41">
        <v>-4.3029981928963797E-2</v>
      </c>
      <c r="AE70" s="41">
        <v>0.22369457983807101</v>
      </c>
      <c r="AF70" s="41">
        <v>0.25452020848016899</v>
      </c>
      <c r="AG70" s="41">
        <v>0.17568733502928899</v>
      </c>
      <c r="AH70" s="41">
        <v>-8.9319899845592392E-3</v>
      </c>
      <c r="AI70" s="41">
        <v>0.59478148773678696</v>
      </c>
      <c r="AJ70" s="41">
        <v>9.11690686769875E-2</v>
      </c>
      <c r="AK70" s="41">
        <v>-4.0121367583957498E-2</v>
      </c>
      <c r="AL70" s="41">
        <v>0.37425709031761101</v>
      </c>
      <c r="AM70" s="42">
        <v>7.7298978842803602E-3</v>
      </c>
    </row>
    <row r="71" spans="1:39" x14ac:dyDescent="0.3">
      <c r="A71" s="24" t="s">
        <v>70</v>
      </c>
      <c r="B71" s="29" cm="1">
        <f t="array" ref="B71">GEOMEAN(1+K71:AM71)-1</f>
        <v>0.22035719500004491</v>
      </c>
      <c r="C71" s="82" cm="1">
        <f t="array" ref="C71">GEOMEAN(1+M71:AM71)-1</f>
        <v>0.22082720529705324</v>
      </c>
      <c r="D71" s="80" cm="1">
        <f t="array" ref="D71">GEOMEAN(1+O71:AM71)-1</f>
        <v>0.19831085475975452</v>
      </c>
      <c r="E71" s="80" cm="1">
        <f t="array" ref="E71">GEOMEAN(1+Y71:AM71)-1</f>
        <v>9.6773109158134085E-2</v>
      </c>
      <c r="F71" s="80" cm="1">
        <f t="array" ref="F71">GEOMEAN(1+AI71:AM71)-1</f>
        <v>0.13464560570874506</v>
      </c>
      <c r="G71" s="46">
        <v>0.2074109925462817</v>
      </c>
      <c r="H71" s="46">
        <v>0.20831154372875393</v>
      </c>
      <c r="I71" s="46">
        <f t="shared" si="3"/>
        <v>0.39457503283452583</v>
      </c>
      <c r="J71" s="46">
        <f t="shared" si="4"/>
        <v>0.39512553177741921</v>
      </c>
      <c r="K71" s="17">
        <v>0.35147792007328099</v>
      </c>
      <c r="L71" s="18">
        <v>9.0560329012245006E-2</v>
      </c>
      <c r="M71" s="18">
        <v>0.15184316231797901</v>
      </c>
      <c r="N71" s="18">
        <v>1.06078498834673</v>
      </c>
      <c r="O71" s="18">
        <v>0.51701779465293196</v>
      </c>
      <c r="P71" s="18">
        <v>0.36490445269384703</v>
      </c>
      <c r="Q71" s="18">
        <v>0.105085835263653</v>
      </c>
      <c r="R71" s="18">
        <v>0.59338757454206603</v>
      </c>
      <c r="S71" s="18">
        <v>0.42807482264157798</v>
      </c>
      <c r="T71" s="18">
        <v>0.41329565060936302</v>
      </c>
      <c r="U71" s="18">
        <v>0.38785637652696597</v>
      </c>
      <c r="V71" s="18">
        <v>0.27936019060190798</v>
      </c>
      <c r="W71" s="18">
        <v>-0.20325573393582899</v>
      </c>
      <c r="X71" s="18">
        <v>1.2132719127628599</v>
      </c>
      <c r="Y71" s="18">
        <v>0.15744462472565399</v>
      </c>
      <c r="Z71" s="18">
        <v>0.18597710790074701</v>
      </c>
      <c r="AA71" s="18">
        <v>0.120164434225713</v>
      </c>
      <c r="AB71" s="18">
        <v>-9.0514205332597394E-2</v>
      </c>
      <c r="AC71" s="18">
        <v>-0.15394206316797099</v>
      </c>
      <c r="AD71" s="18">
        <v>-0.127969861724607</v>
      </c>
      <c r="AE71" s="18">
        <v>0.34599335261815201</v>
      </c>
      <c r="AF71" s="18">
        <v>0.28011930997115703</v>
      </c>
      <c r="AG71" s="18">
        <v>6.6685127802431604E-2</v>
      </c>
      <c r="AH71" s="18">
        <v>0.12081852086118</v>
      </c>
      <c r="AI71" s="18">
        <v>0.58435920730903901</v>
      </c>
      <c r="AJ71" s="18">
        <v>4.3759291176543001E-2</v>
      </c>
      <c r="AK71" s="18">
        <v>-0.10832633877709601</v>
      </c>
      <c r="AL71" s="18">
        <v>0.30772197797260498</v>
      </c>
      <c r="AM71" s="19">
        <v>-2.4727878238482399E-2</v>
      </c>
    </row>
    <row r="72" spans="1:39" x14ac:dyDescent="0.3">
      <c r="A72" s="24" t="s">
        <v>71</v>
      </c>
      <c r="B72" s="29" cm="1">
        <f t="array" ref="B72">GEOMEAN(1+K72:AM72)-1</f>
        <v>0.21157814908532724</v>
      </c>
      <c r="C72" s="80" cm="1">
        <f t="array" ref="C72">GEOMEAN(1+M72:AM72)-1</f>
        <v>0.21676487585190851</v>
      </c>
      <c r="D72" s="80" cm="1">
        <f t="array" ref="D72">GEOMEAN(1+O72:AM72)-1</f>
        <v>0.21406656349136721</v>
      </c>
      <c r="E72" s="80" cm="1">
        <f t="array" ref="E72">GEOMEAN(1+Y72:AM72)-1</f>
        <v>0.12971255056260556</v>
      </c>
      <c r="F72" s="80" cm="1">
        <f t="array" ref="F72">GEOMEAN(1+AI72:AM72)-1</f>
        <v>0.13822832944876362</v>
      </c>
      <c r="G72" s="46">
        <v>0.21272667970396875</v>
      </c>
      <c r="H72" s="46">
        <v>0.21345424454960812</v>
      </c>
      <c r="I72" s="46">
        <f t="shared" si="3"/>
        <v>0.34344612241935896</v>
      </c>
      <c r="J72" s="46">
        <f t="shared" si="4"/>
        <v>0.36657448630809125</v>
      </c>
      <c r="K72" s="17">
        <v>0.38136173959558101</v>
      </c>
      <c r="L72" s="18">
        <v>-5.3099886387162898E-2</v>
      </c>
      <c r="M72" s="18">
        <v>-0.16397987953835</v>
      </c>
      <c r="N72" s="18">
        <v>0.87197805028078101</v>
      </c>
      <c r="O72" s="18">
        <v>6.1402333780993697E-2</v>
      </c>
      <c r="P72" s="18">
        <v>4.74847119315496E-2</v>
      </c>
      <c r="Q72" s="18">
        <v>4.34511495443555E-2</v>
      </c>
      <c r="R72" s="18">
        <v>2.3150592794962801</v>
      </c>
      <c r="S72" s="18">
        <v>0.52052727829809697</v>
      </c>
      <c r="T72" s="18">
        <v>0.78917846830009397</v>
      </c>
      <c r="U72" s="18">
        <v>0.24179931372152799</v>
      </c>
      <c r="V72" s="18">
        <v>0.237969065571733</v>
      </c>
      <c r="W72" s="18">
        <v>-0.35628401662201198</v>
      </c>
      <c r="X72" s="18">
        <v>0.97901289783677803</v>
      </c>
      <c r="Y72" s="18">
        <v>0.38068582933704798</v>
      </c>
      <c r="Z72" s="18">
        <v>7.8341154880986294E-2</v>
      </c>
      <c r="AA72" s="18">
        <v>0.13816006257560201</v>
      </c>
      <c r="AB72" s="18">
        <v>-0.118604350206055</v>
      </c>
      <c r="AC72" s="18">
        <v>-6.9539685621629294E-2</v>
      </c>
      <c r="AD72" s="18">
        <v>-7.1334285835866096E-2</v>
      </c>
      <c r="AE72" s="18">
        <v>0.63190863126210395</v>
      </c>
      <c r="AF72" s="18">
        <v>0.33459444012066603</v>
      </c>
      <c r="AG72" s="18">
        <v>0.163990913557125</v>
      </c>
      <c r="AH72" s="18">
        <v>-3.2297884168525099E-3</v>
      </c>
      <c r="AI72" s="18">
        <v>0.74986068078941304</v>
      </c>
      <c r="AJ72" s="18">
        <v>0.192225337575304</v>
      </c>
      <c r="AK72" s="18">
        <v>-0.21172823779973199</v>
      </c>
      <c r="AL72" s="18">
        <v>0.35660250259467402</v>
      </c>
      <c r="AM72" s="19">
        <v>-0.14363965265370099</v>
      </c>
    </row>
    <row r="73" spans="1:39" x14ac:dyDescent="0.3">
      <c r="A73" s="24" t="s">
        <v>72</v>
      </c>
      <c r="B73" s="29" cm="1">
        <f t="array" ref="B73">GEOMEAN(1+K73:AM73)-1</f>
        <v>0.20068655090419929</v>
      </c>
      <c r="C73" s="80" cm="1">
        <f t="array" ref="C73">GEOMEAN(1+M73:AM73)-1</f>
        <v>0.19588651708758076</v>
      </c>
      <c r="D73" s="80" cm="1">
        <f t="array" ref="D73">GEOMEAN(1+O73:AM73)-1</f>
        <v>0.19561333054616514</v>
      </c>
      <c r="E73" s="80" cm="1">
        <f t="array" ref="E73">GEOMEAN(1+Y73:AM73)-1</f>
        <v>9.8518637291429956E-2</v>
      </c>
      <c r="F73" s="82" cm="1">
        <f t="array" ref="F73">GEOMEAN(1+AI73:AM73)-1</f>
        <v>0.18503384516903787</v>
      </c>
      <c r="G73" s="46">
        <v>0.23464356729701183</v>
      </c>
      <c r="H73" s="46">
        <v>0.23192142659286305</v>
      </c>
      <c r="I73" s="46">
        <f t="shared" si="3"/>
        <v>0.26494890021703477</v>
      </c>
      <c r="J73" s="46">
        <f t="shared" si="4"/>
        <v>0.24736188511998375</v>
      </c>
      <c r="K73" s="17">
        <v>0.72567996688416403</v>
      </c>
      <c r="L73" s="18">
        <v>-6.9170150656672105E-2</v>
      </c>
      <c r="M73" s="18">
        <v>-0.248079723749837</v>
      </c>
      <c r="N73" s="18">
        <v>0.91288413772811094</v>
      </c>
      <c r="O73" s="18">
        <v>0.23000875956129299</v>
      </c>
      <c r="P73" s="18">
        <v>6.2158063255243597E-2</v>
      </c>
      <c r="Q73" s="18">
        <v>0.15129047009521801</v>
      </c>
      <c r="R73" s="18">
        <v>0.96688892364068701</v>
      </c>
      <c r="S73" s="18">
        <v>0.66834684552574297</v>
      </c>
      <c r="T73" s="18">
        <v>0.49329729844048498</v>
      </c>
      <c r="U73" s="18">
        <v>0.362399635842583</v>
      </c>
      <c r="V73" s="18">
        <v>0.41035871610013902</v>
      </c>
      <c r="W73" s="18">
        <v>-0.40011970082461901</v>
      </c>
      <c r="X73" s="18">
        <v>1.5030172582102499</v>
      </c>
      <c r="Y73" s="18">
        <v>7.9372993948543497E-2</v>
      </c>
      <c r="Z73" s="18">
        <v>-6.1329247600223701E-2</v>
      </c>
      <c r="AA73" s="18">
        <v>7.0168371741095706E-2</v>
      </c>
      <c r="AB73" s="18">
        <v>-5.5356892734536298E-2</v>
      </c>
      <c r="AC73" s="18">
        <v>-0.14525481257481601</v>
      </c>
      <c r="AD73" s="18">
        <v>-0.112509345246066</v>
      </c>
      <c r="AE73" s="18">
        <v>0.55364178019628096</v>
      </c>
      <c r="AF73" s="18">
        <v>0.36731910480788699</v>
      </c>
      <c r="AG73" s="18">
        <v>0.29985711416191602</v>
      </c>
      <c r="AH73" s="18">
        <v>-0.18353772260652401</v>
      </c>
      <c r="AI73" s="18">
        <v>1.2201772063610099</v>
      </c>
      <c r="AJ73" s="18">
        <v>-8.2616049066874794E-2</v>
      </c>
      <c r="AK73" s="18">
        <v>-0.31101044820790702</v>
      </c>
      <c r="AL73" s="18">
        <v>0.49015664981281698</v>
      </c>
      <c r="AM73" s="19">
        <v>0.117558926808233</v>
      </c>
    </row>
    <row r="74" spans="1:39" ht="15" thickBot="1" x14ac:dyDescent="0.35">
      <c r="A74" s="25" t="s">
        <v>73</v>
      </c>
      <c r="B74" s="30" cm="1">
        <f t="array" ref="B74">GEOMEAN(1+K74:AM74)-1</f>
        <v>7.9457858477589127E-2</v>
      </c>
      <c r="C74" s="81" cm="1">
        <f t="array" ref="C74">GEOMEAN(1+M74:AM74)-1</f>
        <v>7.302630309183078E-2</v>
      </c>
      <c r="D74" s="81" cm="1">
        <f t="array" ref="D74">GEOMEAN(1+O74:AM74)-1</f>
        <v>4.1688004775880083E-2</v>
      </c>
      <c r="E74" s="81" cm="1">
        <f t="array" ref="E74">GEOMEAN(1+Y74:AM74)-1</f>
        <v>5.1659114354887237E-3</v>
      </c>
      <c r="F74" s="81" cm="1">
        <f t="array" ref="F74">GEOMEAN(1+AI74:AM74)-1</f>
        <v>-1.1742714440129309E-2</v>
      </c>
      <c r="G74" s="48">
        <v>0.32236986290917197</v>
      </c>
      <c r="H74" s="48">
        <v>0.32751521701401937</v>
      </c>
      <c r="I74" s="48">
        <f t="shared" si="3"/>
        <v>-0.18320613718443449</v>
      </c>
      <c r="J74" s="48">
        <f t="shared" si="4"/>
        <v>-0.19996534301861171</v>
      </c>
      <c r="K74" s="20">
        <v>0.42468954572407303</v>
      </c>
      <c r="L74" s="21">
        <v>-3.8908124801263599E-2</v>
      </c>
      <c r="M74" s="21">
        <v>0.36228554932533202</v>
      </c>
      <c r="N74" s="21">
        <v>0.77325096449813402</v>
      </c>
      <c r="O74" s="21">
        <v>-0.17927396174636701</v>
      </c>
      <c r="P74" s="21">
        <v>-0.25647919240866501</v>
      </c>
      <c r="Q74" s="21">
        <v>-7.53781112020631E-2</v>
      </c>
      <c r="R74" s="21">
        <v>1.08337077855436</v>
      </c>
      <c r="S74" s="21">
        <v>0.25594812485113499</v>
      </c>
      <c r="T74" s="21">
        <v>0.38120088713181599</v>
      </c>
      <c r="U74" s="21">
        <v>0.40002417369613102</v>
      </c>
      <c r="V74" s="21">
        <v>-0.18683378987350499</v>
      </c>
      <c r="W74" s="21">
        <v>-0.53531868727286902</v>
      </c>
      <c r="X74" s="21">
        <v>1.38207049254915</v>
      </c>
      <c r="Y74" s="21">
        <v>2.55492402799209E-2</v>
      </c>
      <c r="Z74" s="21">
        <v>-0.16832119641356499</v>
      </c>
      <c r="AA74" s="21">
        <v>3.4996663790054901E-2</v>
      </c>
      <c r="AB74" s="21">
        <v>-0.15368391418949001</v>
      </c>
      <c r="AC74" s="21">
        <v>-0.16161239527555499</v>
      </c>
      <c r="AD74" s="21">
        <v>-0.154713451701083</v>
      </c>
      <c r="AE74" s="21">
        <v>0.502336992933063</v>
      </c>
      <c r="AF74" s="21">
        <v>0.24743543175479299</v>
      </c>
      <c r="AG74" s="21">
        <v>0.199997536774767</v>
      </c>
      <c r="AH74" s="21">
        <v>-3.7462054040581699E-2</v>
      </c>
      <c r="AI74" s="21">
        <v>0.764820797863355</v>
      </c>
      <c r="AJ74" s="21">
        <v>-0.22112871996540501</v>
      </c>
      <c r="AK74" s="21">
        <v>-0.40482334670616199</v>
      </c>
      <c r="AL74" s="21">
        <v>0.42094507109830798</v>
      </c>
      <c r="AM74" s="22">
        <v>-0.189112429657285</v>
      </c>
    </row>
    <row r="75" spans="1:39" x14ac:dyDescent="0.3">
      <c r="A75" s="23" t="s">
        <v>74</v>
      </c>
      <c r="B75" s="27" cm="1">
        <f t="array" ref="B75">GEOMEAN(1+K75:AM75)-1</f>
        <v>0.20605365462220604</v>
      </c>
      <c r="C75" s="75" cm="1">
        <f t="array" ref="C75">GEOMEAN(1+M75:AM75)-1</f>
        <v>0.19027795422155291</v>
      </c>
      <c r="D75" s="75" cm="1">
        <f t="array" ref="D75">GEOMEAN(1+O75:AM75)-1</f>
        <v>0.16668474137674294</v>
      </c>
      <c r="E75" s="75" cm="1">
        <f t="array" ref="E75">GEOMEAN(1+Y75:AM75)-1</f>
        <v>9.9829263012242819E-2</v>
      </c>
      <c r="F75" s="75" cm="1">
        <f t="array" ref="F75">GEOMEAN(1+AI75:AM75)-1</f>
        <v>0.21947503224167653</v>
      </c>
      <c r="G75" s="45">
        <v>0.23606144637383222</v>
      </c>
      <c r="H75" s="45">
        <v>0.23385875413670654</v>
      </c>
      <c r="I75" s="45">
        <f t="shared" si="3"/>
        <v>0.28609355679961745</v>
      </c>
      <c r="J75" s="45">
        <f t="shared" si="4"/>
        <v>0.2213300015506002</v>
      </c>
      <c r="K75" s="14">
        <v>0.60008305858511901</v>
      </c>
      <c r="L75" s="15">
        <v>0.29712905711134102</v>
      </c>
      <c r="M75" s="15">
        <v>9.4352560121828896E-2</v>
      </c>
      <c r="N75" s="15">
        <v>1.1355577489241599</v>
      </c>
      <c r="O75" s="15">
        <v>0.41550932557259701</v>
      </c>
      <c r="P75" s="15">
        <v>0.25847291606495998</v>
      </c>
      <c r="Q75" s="15">
        <v>0.68597227261982396</v>
      </c>
      <c r="R75" s="15">
        <v>0.14476277009753</v>
      </c>
      <c r="S75" s="15">
        <v>0.293271367886344</v>
      </c>
      <c r="T75" s="15">
        <v>0.15181558571672199</v>
      </c>
      <c r="U75" s="15">
        <v>0.50746679111790105</v>
      </c>
      <c r="V75" s="15">
        <v>-5.18128767345774E-2</v>
      </c>
      <c r="W75" s="15">
        <v>-0.100064277504907</v>
      </c>
      <c r="X75" s="15">
        <v>0.71874102301352905</v>
      </c>
      <c r="Y75" s="15">
        <v>0.25209195263082002</v>
      </c>
      <c r="Z75" s="15">
        <v>6.4304674006490101E-3</v>
      </c>
      <c r="AA75" s="15">
        <v>0.13761053946041599</v>
      </c>
      <c r="AB75" s="15">
        <v>-0.119390345208662</v>
      </c>
      <c r="AC75" s="15">
        <v>-0.20077439578126299</v>
      </c>
      <c r="AD75" s="15">
        <v>-0.13893012907596999</v>
      </c>
      <c r="AE75" s="15">
        <v>0.22130264046262499</v>
      </c>
      <c r="AF75" s="15">
        <v>0.43523288668312698</v>
      </c>
      <c r="AG75" s="15">
        <v>0.34302239349848301</v>
      </c>
      <c r="AH75" s="15">
        <v>-0.244419506651184</v>
      </c>
      <c r="AI75" s="15">
        <v>1.5271039863415901</v>
      </c>
      <c r="AJ75" s="15">
        <v>-4.5207459058142899E-2</v>
      </c>
      <c r="AK75" s="15">
        <v>-0.20512985453246499</v>
      </c>
      <c r="AL75" s="15">
        <v>0.31905856833157498</v>
      </c>
      <c r="AM75" s="16">
        <v>6.6036731958039704E-2</v>
      </c>
    </row>
    <row r="76" spans="1:39" x14ac:dyDescent="0.3">
      <c r="A76" s="24" t="s">
        <v>75</v>
      </c>
      <c r="B76" s="29" cm="1">
        <f t="array" ref="B76">GEOMEAN(1+K76:AM76)-1</f>
        <v>0.22257369933164006</v>
      </c>
      <c r="C76" s="80" cm="1">
        <f t="array" ref="C76">GEOMEAN(1+M76:AM76)-1</f>
        <v>0.21714562091991074</v>
      </c>
      <c r="D76" s="80" cm="1">
        <f t="array" ref="D76">GEOMEAN(1+O76:AM76)-1</f>
        <v>0.2137798512660849</v>
      </c>
      <c r="E76" s="82" cm="1">
        <f t="array" ref="E76">GEOMEAN(1+Y76:AM76)-1</f>
        <v>0.14068010957209842</v>
      </c>
      <c r="F76" s="80" cm="1">
        <f t="array" ref="F76">GEOMEAN(1+AI76:AM76)-1</f>
        <v>0.24234942127731607</v>
      </c>
      <c r="G76" s="46">
        <v>0.18443274208140165</v>
      </c>
      <c r="H76" s="46">
        <v>0.1833318482406035</v>
      </c>
      <c r="I76" s="46">
        <f t="shared" si="3"/>
        <v>0.45575260974370174</v>
      </c>
      <c r="J76" s="46">
        <f t="shared" si="4"/>
        <v>0.42888142932408641</v>
      </c>
      <c r="K76" s="17">
        <v>0.49658124611896698</v>
      </c>
      <c r="L76" s="18">
        <v>0.126231088082432</v>
      </c>
      <c r="M76" s="18">
        <v>-0.150159303675273</v>
      </c>
      <c r="N76" s="18">
        <v>0.86815532404259899</v>
      </c>
      <c r="O76" s="18">
        <v>0.21233839666747201</v>
      </c>
      <c r="P76" s="18">
        <v>0.25359553471290502</v>
      </c>
      <c r="Q76" s="18">
        <v>0.38553348739429499</v>
      </c>
      <c r="R76" s="18">
        <v>0.59633567372291896</v>
      </c>
      <c r="S76" s="18">
        <v>0.50608835448742095</v>
      </c>
      <c r="T76" s="18">
        <v>0.245907781867371</v>
      </c>
      <c r="U76" s="18">
        <v>0.49949162557632099</v>
      </c>
      <c r="V76" s="18">
        <v>5.1374052563300902E-2</v>
      </c>
      <c r="W76" s="18">
        <v>-0.144823359194485</v>
      </c>
      <c r="X76" s="18">
        <v>1.0721636350639301</v>
      </c>
      <c r="Y76" s="18">
        <v>0.35355383484011699</v>
      </c>
      <c r="Z76" s="18">
        <v>0.14486614409894</v>
      </c>
      <c r="AA76" s="18">
        <v>0.141193609640339</v>
      </c>
      <c r="AB76" s="18">
        <v>-0.12935836081254601</v>
      </c>
      <c r="AC76" s="18">
        <v>-0.14018614744335101</v>
      </c>
      <c r="AD76" s="18">
        <v>-0.13839564648657501</v>
      </c>
      <c r="AE76" s="18">
        <v>0.27347997901566901</v>
      </c>
      <c r="AF76" s="18">
        <v>0.30976576619104401</v>
      </c>
      <c r="AG76" s="18">
        <v>0.31675680264031197</v>
      </c>
      <c r="AH76" s="18">
        <v>-2.8581077102908699E-2</v>
      </c>
      <c r="AI76" s="18">
        <v>0.95025453295844597</v>
      </c>
      <c r="AJ76" s="18">
        <v>0.173410270345566</v>
      </c>
      <c r="AK76" s="18">
        <v>-0.115373635108195</v>
      </c>
      <c r="AL76" s="18">
        <v>0.36877410451249099</v>
      </c>
      <c r="AM76" s="19">
        <v>6.8036192841187407E-2</v>
      </c>
    </row>
    <row r="77" spans="1:39" x14ac:dyDescent="0.3">
      <c r="A77" s="24" t="s">
        <v>76</v>
      </c>
      <c r="B77" s="29" cm="1">
        <f t="array" ref="B77">GEOMEAN(1+K77:AM77)-1</f>
        <v>0.22424265758257045</v>
      </c>
      <c r="C77" s="80" cm="1">
        <f t="array" ref="C77">GEOMEAN(1+M77:AM77)-1</f>
        <v>0.22122882553323686</v>
      </c>
      <c r="D77" s="80" cm="1">
        <f t="array" ref="D77">GEOMEAN(1+O77:AM77)-1</f>
        <v>0.21493439218803245</v>
      </c>
      <c r="E77" s="80" cm="1">
        <f t="array" ref="E77">GEOMEAN(1+Y77:AM77)-1</f>
        <v>0.14004070258369494</v>
      </c>
      <c r="F77" s="82" cm="1">
        <f t="array" ref="F77">GEOMEAN(1+AI77:AM77)-1</f>
        <v>0.24893340131275177</v>
      </c>
      <c r="G77" s="46">
        <v>0.17671492562522909</v>
      </c>
      <c r="H77" s="46">
        <v>0.17682905065058296</v>
      </c>
      <c r="I77" s="46">
        <f t="shared" si="3"/>
        <v>0.48510142238080178</v>
      </c>
      <c r="J77" s="46">
        <f t="shared" si="4"/>
        <v>0.46774457829794364</v>
      </c>
      <c r="K77" s="17">
        <v>0.54137418541217797</v>
      </c>
      <c r="L77" s="18">
        <v>3.9272390432587997E-2</v>
      </c>
      <c r="M77" s="18">
        <v>-8.8230332891761507E-2</v>
      </c>
      <c r="N77" s="18">
        <v>0.86129181133249699</v>
      </c>
      <c r="O77" s="18">
        <v>0.16016405635302</v>
      </c>
      <c r="P77" s="18">
        <v>0.17876691108315601</v>
      </c>
      <c r="Q77" s="18">
        <v>0.48673391155809798</v>
      </c>
      <c r="R77" s="18">
        <v>0.78394336906261497</v>
      </c>
      <c r="S77" s="18">
        <v>0.39562515768606499</v>
      </c>
      <c r="T77" s="18">
        <v>0.30074635604481798</v>
      </c>
      <c r="U77" s="18">
        <v>0.668013307188141</v>
      </c>
      <c r="V77" s="18">
        <v>3.0453055409507698E-2</v>
      </c>
      <c r="W77" s="18">
        <v>-0.13211841424896001</v>
      </c>
      <c r="X77" s="18">
        <v>0.852695472956435</v>
      </c>
      <c r="Y77" s="18">
        <v>0.29820966593825199</v>
      </c>
      <c r="Z77" s="18">
        <v>0.12672483298762</v>
      </c>
      <c r="AA77" s="18">
        <v>0.14198405940473999</v>
      </c>
      <c r="AB77" s="18">
        <v>7.0789083937210498E-3</v>
      </c>
      <c r="AC77" s="18">
        <v>-0.18291824472739099</v>
      </c>
      <c r="AD77" s="18">
        <v>-8.4505337354483998E-2</v>
      </c>
      <c r="AE77" s="18">
        <v>0.27395570543805398</v>
      </c>
      <c r="AF77" s="18">
        <v>0.20764899315691801</v>
      </c>
      <c r="AG77" s="18">
        <v>0.268228945078266</v>
      </c>
      <c r="AH77" s="18">
        <v>-4.2786830930110299E-2</v>
      </c>
      <c r="AI77" s="18">
        <v>0.82529819642745395</v>
      </c>
      <c r="AJ77" s="18">
        <v>0.21460251815953499</v>
      </c>
      <c r="AK77" s="18">
        <v>-4.5401084019380401E-2</v>
      </c>
      <c r="AL77" s="18">
        <v>0.40991857065381399</v>
      </c>
      <c r="AM77" s="19">
        <v>1.8388374189406E-2</v>
      </c>
    </row>
    <row r="78" spans="1:39" x14ac:dyDescent="0.3">
      <c r="A78" s="24" t="s">
        <v>77</v>
      </c>
      <c r="B78" s="29" cm="1">
        <f t="array" ref="B78">GEOMEAN(1+K78:AM78)-1</f>
        <v>0.22415388828881433</v>
      </c>
      <c r="C78" s="80" cm="1">
        <f t="array" ref="C78">GEOMEAN(1+M78:AM78)-1</f>
        <v>0.22189299870171686</v>
      </c>
      <c r="D78" s="80" cm="1">
        <f t="array" ref="D78">GEOMEAN(1+O78:AM78)-1</f>
        <v>0.21332449143712151</v>
      </c>
      <c r="E78" s="80" cm="1">
        <f t="array" ref="E78">GEOMEAN(1+Y78:AM78)-1</f>
        <v>0.13041218668313781</v>
      </c>
      <c r="F78" s="80" cm="1">
        <f t="array" ref="F78">GEOMEAN(1+AI78:AM78)-1</f>
        <v>0.20553093687060309</v>
      </c>
      <c r="G78" s="46">
        <v>0.17279107737739011</v>
      </c>
      <c r="H78" s="46">
        <v>0.17354013292983519</v>
      </c>
      <c r="I78" s="46">
        <f t="shared" si="3"/>
        <v>0.49560367226557761</v>
      </c>
      <c r="J78" s="46">
        <f t="shared" si="4"/>
        <v>0.48043643558560811</v>
      </c>
      <c r="K78" s="17">
        <v>0.61318960851456905</v>
      </c>
      <c r="L78" s="18">
        <v>-2.3520124696394099E-2</v>
      </c>
      <c r="M78" s="18">
        <v>-7.2565709862609504E-2</v>
      </c>
      <c r="N78" s="18">
        <v>0.91950174052340194</v>
      </c>
      <c r="O78" s="18">
        <v>0.246242204276478</v>
      </c>
      <c r="P78" s="18">
        <v>0.24651525146727701</v>
      </c>
      <c r="Q78" s="18">
        <v>0.36808991493468901</v>
      </c>
      <c r="R78" s="18">
        <v>0.78504610056771496</v>
      </c>
      <c r="S78" s="18">
        <v>0.44083520109572799</v>
      </c>
      <c r="T78" s="18">
        <v>0.32875135485495</v>
      </c>
      <c r="U78" s="18">
        <v>0.58193610099876103</v>
      </c>
      <c r="V78" s="18">
        <v>9.4455097940143104E-2</v>
      </c>
      <c r="W78" s="18">
        <v>-0.202175391142697</v>
      </c>
      <c r="X78" s="18">
        <v>0.99276077274711605</v>
      </c>
      <c r="Y78" s="18">
        <v>0.36741944400766702</v>
      </c>
      <c r="Z78" s="18">
        <v>0.146023893278769</v>
      </c>
      <c r="AA78" s="18">
        <v>0.18255849596193099</v>
      </c>
      <c r="AB78" s="18">
        <v>-2.6860684355492701E-2</v>
      </c>
      <c r="AC78" s="18">
        <v>-0.219284328803348</v>
      </c>
      <c r="AD78" s="18">
        <v>-3.8614025362846999E-2</v>
      </c>
      <c r="AE78" s="18">
        <v>0.28980971154224899</v>
      </c>
      <c r="AF78" s="18">
        <v>0.231736553003731</v>
      </c>
      <c r="AG78" s="18">
        <v>0.19898367190562299</v>
      </c>
      <c r="AH78" s="18">
        <v>-4.2100009771841501E-2</v>
      </c>
      <c r="AI78" s="18">
        <v>0.73581221137698005</v>
      </c>
      <c r="AJ78" s="18">
        <v>0.16311364729653099</v>
      </c>
      <c r="AK78" s="18">
        <v>-4.3576995252049201E-2</v>
      </c>
      <c r="AL78" s="18">
        <v>0.36111508165219303</v>
      </c>
      <c r="AM78" s="19">
        <v>-3.1226949541684802E-2</v>
      </c>
    </row>
    <row r="79" spans="1:39" ht="15" thickBot="1" x14ac:dyDescent="0.35">
      <c r="A79" s="25" t="s">
        <v>78</v>
      </c>
      <c r="B79" s="94" cm="1">
        <f t="array" ref="B79">GEOMEAN(1+K79:AM79)-1</f>
        <v>0.22809976197390602</v>
      </c>
      <c r="C79" s="13" cm="1">
        <f t="array" ref="C79">GEOMEAN(1+M79:AM79)-1</f>
        <v>0.22773971602038379</v>
      </c>
      <c r="D79" s="13" cm="1">
        <f t="array" ref="D79">GEOMEAN(1+O79:AM79)-1</f>
        <v>0.22003999689433096</v>
      </c>
      <c r="E79" s="81" cm="1">
        <f t="array" ref="E79">GEOMEAN(1+Y79:AM79)-1</f>
        <v>0.11863251764515725</v>
      </c>
      <c r="F79" s="81" cm="1">
        <f t="array" ref="F79">GEOMEAN(1+AI79:AM79)-1</f>
        <v>0.16669060604468799</v>
      </c>
      <c r="G79" s="48">
        <v>0.17097916078090697</v>
      </c>
      <c r="H79" s="48">
        <v>0.17251485263320174</v>
      </c>
      <c r="I79" s="95">
        <f t="shared" si="3"/>
        <v>0.5239338277185841</v>
      </c>
      <c r="J79" s="95">
        <f t="shared" si="4"/>
        <v>0.51718283297167078</v>
      </c>
      <c r="K79" s="20">
        <v>0.54170081954400995</v>
      </c>
      <c r="L79" s="21">
        <v>-1.39352590221445E-2</v>
      </c>
      <c r="M79" s="21">
        <v>-7.58009385847426E-2</v>
      </c>
      <c r="N79" s="21">
        <v>0.90876735945915699</v>
      </c>
      <c r="O79" s="21">
        <v>0.233981244158182</v>
      </c>
      <c r="P79" s="21">
        <v>0.31987122317786798</v>
      </c>
      <c r="Q79" s="21">
        <v>0.30336317994598699</v>
      </c>
      <c r="R79" s="21">
        <v>1.01435714799304</v>
      </c>
      <c r="S79" s="21">
        <v>0.48408962262198801</v>
      </c>
      <c r="T79" s="21">
        <v>0.56626233507647905</v>
      </c>
      <c r="U79" s="21">
        <v>0.50778828285552002</v>
      </c>
      <c r="V79" s="21">
        <v>0.17442075422445</v>
      </c>
      <c r="W79" s="21">
        <v>-0.16395731948282999</v>
      </c>
      <c r="X79" s="21">
        <v>0.82507582554772296</v>
      </c>
      <c r="Y79" s="21">
        <v>0.31531068492879599</v>
      </c>
      <c r="Z79" s="21">
        <v>0.20249017396869501</v>
      </c>
      <c r="AA79" s="21">
        <v>0.16222826083129299</v>
      </c>
      <c r="AB79" s="21">
        <v>-5.8862602103936998E-2</v>
      </c>
      <c r="AC79" s="21">
        <v>-0.20360282930189599</v>
      </c>
      <c r="AD79" s="21">
        <v>-6.00990003045992E-2</v>
      </c>
      <c r="AE79" s="21">
        <v>0.26535620535579402</v>
      </c>
      <c r="AF79" s="21">
        <v>0.21852033016279199</v>
      </c>
      <c r="AG79" s="21">
        <v>0.17548724701996199</v>
      </c>
      <c r="AH79" s="21">
        <v>5.9262074067263103E-2</v>
      </c>
      <c r="AI79" s="21">
        <v>0.58328828182967096</v>
      </c>
      <c r="AJ79" s="21">
        <v>0.107854633612272</v>
      </c>
      <c r="AK79" s="21">
        <v>-5.3208408422276601E-2</v>
      </c>
      <c r="AL79" s="21">
        <v>0.35968526063274903</v>
      </c>
      <c r="AM79" s="22">
        <v>-4.2711267597857802E-2</v>
      </c>
    </row>
    <row r="80" spans="1:39" x14ac:dyDescent="0.3">
      <c r="A80" s="35" t="s">
        <v>79</v>
      </c>
      <c r="B80" s="100" cm="1">
        <f t="array" ref="B80">GEOMEAN(1+K80:AM80)-1</f>
        <v>0.211667054143305</v>
      </c>
      <c r="C80" s="101" cm="1">
        <f t="array" ref="C80">GEOMEAN(1+M80:AM80)-1</f>
        <v>0.2063078654556616</v>
      </c>
      <c r="D80" s="101" cm="1">
        <f t="array" ref="D80">GEOMEAN(1+O80:AM80)-1</f>
        <v>0.19715137626859347</v>
      </c>
      <c r="E80" s="101" cm="1">
        <f t="array" ref="E80">GEOMEAN(1+Y80:AM80)-1</f>
        <v>0.12243325414850958</v>
      </c>
      <c r="F80" s="101" cm="1">
        <f t="array" ref="F80">GEOMEAN(1+AI80:AM80)-1</f>
        <v>0.16187259398436393</v>
      </c>
      <c r="G80" s="102">
        <v>0.17826547299545681</v>
      </c>
      <c r="H80" s="102">
        <v>0.17714541932902972</v>
      </c>
      <c r="I80" s="102">
        <f t="shared" si="3"/>
        <v>0.4103377794269506</v>
      </c>
      <c r="J80" s="102">
        <f t="shared" si="4"/>
        <v>0.3826792129684965</v>
      </c>
      <c r="K80" s="40">
        <v>0.556287169563626</v>
      </c>
      <c r="L80" s="41">
        <v>6.3299565693964305E-2</v>
      </c>
      <c r="M80" s="41">
        <v>-8.8230332891761507E-2</v>
      </c>
      <c r="N80" s="41">
        <v>0.93089402862925597</v>
      </c>
      <c r="O80" s="41">
        <v>0.211301635197814</v>
      </c>
      <c r="P80" s="41">
        <v>0.17876691108315601</v>
      </c>
      <c r="Q80" s="41">
        <v>0.38553348739429499</v>
      </c>
      <c r="R80" s="41">
        <v>0.50295363474336097</v>
      </c>
      <c r="S80" s="41">
        <v>0.50843653048175297</v>
      </c>
      <c r="T80" s="41">
        <v>0.30287037416136098</v>
      </c>
      <c r="U80" s="41">
        <v>0.67617321337202196</v>
      </c>
      <c r="V80" s="41">
        <v>4.0898240967144298E-2</v>
      </c>
      <c r="W80" s="41">
        <v>-0.163438162386006</v>
      </c>
      <c r="X80" s="41">
        <v>0.86389968164089703</v>
      </c>
      <c r="Y80" s="41">
        <v>0.33968257459365497</v>
      </c>
      <c r="Z80" s="41">
        <v>0.17558034519079199</v>
      </c>
      <c r="AA80" s="41">
        <v>0.194285950966499</v>
      </c>
      <c r="AB80" s="41">
        <v>-2.43151592690917E-2</v>
      </c>
      <c r="AC80" s="41">
        <v>-0.225728924744412</v>
      </c>
      <c r="AD80" s="41">
        <v>-4.30839229606573E-2</v>
      </c>
      <c r="AE80" s="41">
        <v>0.269133678011997</v>
      </c>
      <c r="AF80" s="41">
        <v>0.24317884723012401</v>
      </c>
      <c r="AG80" s="41">
        <v>0.17680867941758699</v>
      </c>
      <c r="AH80" s="41">
        <v>5.78631764808255E-2</v>
      </c>
      <c r="AI80" s="41">
        <v>0.58760762221574503</v>
      </c>
      <c r="AJ80" s="41">
        <v>0.107854633612272</v>
      </c>
      <c r="AK80" s="41">
        <v>-6.5294466889827193E-2</v>
      </c>
      <c r="AL80" s="41">
        <v>0.34062836103607602</v>
      </c>
      <c r="AM80" s="42">
        <v>-3.9309781484354697E-2</v>
      </c>
    </row>
    <row r="81" spans="1:39" x14ac:dyDescent="0.3">
      <c r="A81" s="24" t="s">
        <v>80</v>
      </c>
      <c r="B81" s="28" cm="1">
        <f t="array" ref="B81">GEOMEAN(1+K81:AM81)-1</f>
        <v>0.23845934856205475</v>
      </c>
      <c r="C81" s="82" cm="1">
        <f t="array" ref="C81">GEOMEAN(1+M81:AM81)-1</f>
        <v>0.24130159929095107</v>
      </c>
      <c r="D81" s="82" cm="1">
        <f t="array" ref="D81">GEOMEAN(1+O81:AM81)-1</f>
        <v>0.2339800593483532</v>
      </c>
      <c r="E81" s="80" cm="1">
        <f t="array" ref="E81">GEOMEAN(1+Y81:AM81)-1</f>
        <v>0.11878445604412224</v>
      </c>
      <c r="F81" s="82" cm="1">
        <f t="array" ref="F81">GEOMEAN(1+AI81:AM81)-1</f>
        <v>0.21619628997280405</v>
      </c>
      <c r="G81" s="46">
        <v>0.20708895105147815</v>
      </c>
      <c r="H81" s="46">
        <v>0.21042630642334281</v>
      </c>
      <c r="I81" s="47">
        <f t="shared" si="3"/>
        <v>0.48260108638706234</v>
      </c>
      <c r="J81" s="47">
        <f t="shared" si="4"/>
        <v>0.48845415400826026</v>
      </c>
      <c r="K81" s="17">
        <v>0.46258896639111002</v>
      </c>
      <c r="L81" s="18">
        <v>-1.42628559121114E-2</v>
      </c>
      <c r="M81" s="18">
        <v>-4.9008760196905303E-2</v>
      </c>
      <c r="N81" s="18">
        <v>0.87848375588316796</v>
      </c>
      <c r="O81" s="18">
        <v>0.16883849641698501</v>
      </c>
      <c r="P81" s="18">
        <v>0.37899686874321498</v>
      </c>
      <c r="Q81" s="18">
        <v>0.326936866094932</v>
      </c>
      <c r="R81" s="18">
        <v>1.1642837468662</v>
      </c>
      <c r="S81" s="18">
        <v>0.42911787672365098</v>
      </c>
      <c r="T81" s="18">
        <v>0.85027702880896405</v>
      </c>
      <c r="U81" s="18">
        <v>0.37939881719729202</v>
      </c>
      <c r="V81" s="18">
        <v>0.278114955264883</v>
      </c>
      <c r="W81" s="18">
        <v>-0.23289532760497</v>
      </c>
      <c r="X81" s="18">
        <v>1.15082827786987</v>
      </c>
      <c r="Y81" s="18">
        <v>0.17490101364140501</v>
      </c>
      <c r="Z81" s="18">
        <v>0.13506825638776301</v>
      </c>
      <c r="AA81" s="18">
        <v>6.6354005243992598E-2</v>
      </c>
      <c r="AB81" s="18">
        <v>-0.107847425292597</v>
      </c>
      <c r="AC81" s="18">
        <v>-1.9381322403829601E-2</v>
      </c>
      <c r="AD81" s="18">
        <v>-6.3003251419588999E-2</v>
      </c>
      <c r="AE81" s="18">
        <v>0.36212147936628297</v>
      </c>
      <c r="AF81" s="18">
        <v>0.18470584225526501</v>
      </c>
      <c r="AG81" s="18">
        <v>9.1657619932424203E-2</v>
      </c>
      <c r="AH81" s="18">
        <v>-1.44852587841727E-2</v>
      </c>
      <c r="AI81" s="18">
        <v>0.74768645006832501</v>
      </c>
      <c r="AJ81" s="18">
        <v>8.7526644545585106E-2</v>
      </c>
      <c r="AK81" s="18">
        <v>-1.49026216680082E-2</v>
      </c>
      <c r="AL81" s="18">
        <v>0.44173191295631398</v>
      </c>
      <c r="AM81" s="19">
        <v>-1.4285214076531799E-2</v>
      </c>
    </row>
    <row r="82" spans="1:39" x14ac:dyDescent="0.3">
      <c r="A82" s="24" t="s">
        <v>81</v>
      </c>
      <c r="B82" s="29" cm="1">
        <f t="array" ref="B82">GEOMEAN(1+K82:AM82)-1</f>
        <v>0.22099140467278566</v>
      </c>
      <c r="C82" s="80" cm="1">
        <f t="array" ref="C82">GEOMEAN(1+M82:AM82)-1</f>
        <v>0.22000638038268394</v>
      </c>
      <c r="D82" s="80" cm="1">
        <f t="array" ref="D82">GEOMEAN(1+O82:AM82)-1</f>
        <v>0.20648012527017112</v>
      </c>
      <c r="E82" s="82" cm="1">
        <f t="array" ref="E82">GEOMEAN(1+Y82:AM82)-1</f>
        <v>0.1326276693958941</v>
      </c>
      <c r="F82" s="80" cm="1">
        <f t="array" ref="F82">GEOMEAN(1+AI82:AM82)-1</f>
        <v>0.17009419938112358</v>
      </c>
      <c r="G82" s="46">
        <v>0.20719321918862538</v>
      </c>
      <c r="H82" s="46">
        <v>0.20453416343428674</v>
      </c>
      <c r="I82" s="46">
        <f t="shared" si="3"/>
        <v>0.39805071415898496</v>
      </c>
      <c r="J82" s="46">
        <f t="shared" si="4"/>
        <v>0.39840965053747862</v>
      </c>
      <c r="K82" s="17">
        <v>0.49146354116213198</v>
      </c>
      <c r="L82" s="18">
        <v>2.1588980314064098E-2</v>
      </c>
      <c r="M82" s="18">
        <v>8.7762947991287792E-3</v>
      </c>
      <c r="N82" s="18">
        <v>0.94974396007270101</v>
      </c>
      <c r="O82" s="18">
        <v>0.25546079917993197</v>
      </c>
      <c r="P82" s="18">
        <v>0.109287398358414</v>
      </c>
      <c r="Q82" s="18">
        <v>0.18042348544502401</v>
      </c>
      <c r="R82" s="18">
        <v>0.93834206396564701</v>
      </c>
      <c r="S82" s="18">
        <v>0.51494418952681498</v>
      </c>
      <c r="T82" s="18">
        <v>0.48928089324085799</v>
      </c>
      <c r="U82" s="18">
        <v>0.27728669524004601</v>
      </c>
      <c r="V82" s="18">
        <v>0.36342607126103499</v>
      </c>
      <c r="W82" s="18">
        <v>-0.37497174363895502</v>
      </c>
      <c r="X82" s="18">
        <v>1.1537158915522401</v>
      </c>
      <c r="Y82" s="18">
        <v>0.28031080548856502</v>
      </c>
      <c r="Z82" s="18">
        <v>0.124484712478952</v>
      </c>
      <c r="AA82" s="18">
        <v>0.15874011466010399</v>
      </c>
      <c r="AB82" s="18">
        <v>-4.7576009206846903E-2</v>
      </c>
      <c r="AC82" s="18">
        <v>-4.7361173085007299E-2</v>
      </c>
      <c r="AD82" s="18">
        <v>-0.153428425262848</v>
      </c>
      <c r="AE82" s="18">
        <v>0.47250385000005402</v>
      </c>
      <c r="AF82" s="18">
        <v>0.33237489932498698</v>
      </c>
      <c r="AG82" s="18">
        <v>0.15304482346081</v>
      </c>
      <c r="AH82" s="18">
        <v>1.8584365119140599E-2</v>
      </c>
      <c r="AI82" s="18">
        <v>1.0106263265584301</v>
      </c>
      <c r="AJ82" s="18">
        <v>4.1115429539495998E-2</v>
      </c>
      <c r="AK82" s="18">
        <v>-0.18471203966382099</v>
      </c>
      <c r="AL82" s="18">
        <v>0.30485653925619899</v>
      </c>
      <c r="AM82" s="19">
        <v>-1.50819673335991E-2</v>
      </c>
    </row>
    <row r="83" spans="1:39" x14ac:dyDescent="0.3">
      <c r="A83" s="24" t="s">
        <v>82</v>
      </c>
      <c r="B83" s="29" cm="1">
        <f t="array" ref="B83">GEOMEAN(1+K83:AM83)-1</f>
        <v>0.15826987853543439</v>
      </c>
      <c r="C83" s="80" cm="1">
        <f t="array" ref="C83">GEOMEAN(1+M83:AM83)-1</f>
        <v>0.14645683678525212</v>
      </c>
      <c r="D83" s="80" cm="1">
        <f t="array" ref="D83">GEOMEAN(1+O83:AM83)-1</f>
        <v>0.15455250231968454</v>
      </c>
      <c r="E83" s="80" cm="1">
        <f t="array" ref="E83">GEOMEAN(1+Y83:AM83)-1</f>
        <v>8.0028034312910945E-2</v>
      </c>
      <c r="F83" s="80" cm="1">
        <f t="array" ref="F83">GEOMEAN(1+AI83:AM83)-1</f>
        <v>8.8454905915195781E-2</v>
      </c>
      <c r="G83" s="46">
        <v>0.22432411536012756</v>
      </c>
      <c r="H83" s="46">
        <v>0.22503500200377821</v>
      </c>
      <c r="I83" s="46">
        <f t="shared" si="3"/>
        <v>8.8050643587162747E-2</v>
      </c>
      <c r="J83" s="46">
        <f t="shared" si="4"/>
        <v>3.52782496443136E-2</v>
      </c>
      <c r="K83" s="17">
        <v>0.68760368404955496</v>
      </c>
      <c r="L83" s="18">
        <v>4.8466395018506497E-2</v>
      </c>
      <c r="M83" s="18">
        <v>-0.20244933426002501</v>
      </c>
      <c r="N83" s="18">
        <v>0.38215794995951702</v>
      </c>
      <c r="O83" s="18">
        <v>7.4062286464035204E-2</v>
      </c>
      <c r="P83" s="18">
        <v>0.15080026727818699</v>
      </c>
      <c r="Q83" s="18">
        <v>0.17173447243381501</v>
      </c>
      <c r="R83" s="18">
        <v>1.1568212881961299</v>
      </c>
      <c r="S83" s="18">
        <v>0.54371030198617198</v>
      </c>
      <c r="T83" s="18">
        <v>0.40523829540538298</v>
      </c>
      <c r="U83" s="18">
        <v>0.32467561327844802</v>
      </c>
      <c r="V83" s="18">
        <v>0.13852508489294199</v>
      </c>
      <c r="W83" s="18">
        <v>-0.39681487509229801</v>
      </c>
      <c r="X83" s="18">
        <v>0.85748538661767104</v>
      </c>
      <c r="Y83" s="18">
        <v>1.9061375650080099E-2</v>
      </c>
      <c r="Z83" s="18">
        <v>-6.2121932172453098E-3</v>
      </c>
      <c r="AA83" s="18">
        <v>0.118037787857889</v>
      </c>
      <c r="AB83" s="18">
        <v>-9.6799872964225004E-3</v>
      </c>
      <c r="AC83" s="18">
        <v>-1.38086782631823E-2</v>
      </c>
      <c r="AD83" s="18">
        <v>-8.8790062278321091E-3</v>
      </c>
      <c r="AE83" s="18">
        <v>0.41905498640323402</v>
      </c>
      <c r="AF83" s="18">
        <v>0.48430777820125798</v>
      </c>
      <c r="AG83" s="18">
        <v>0.15992416489852099</v>
      </c>
      <c r="AH83" s="18">
        <v>-0.22427722029735001</v>
      </c>
      <c r="AI83" s="18">
        <v>0.66731996518000702</v>
      </c>
      <c r="AJ83" s="18">
        <v>-8.4295981745160398E-2</v>
      </c>
      <c r="AK83" s="18">
        <v>-0.31493672662690703</v>
      </c>
      <c r="AL83" s="18">
        <v>0.61985408673246201</v>
      </c>
      <c r="AM83" s="19">
        <v>-9.8280308052193704E-2</v>
      </c>
    </row>
    <row r="84" spans="1:39" ht="15" thickBot="1" x14ac:dyDescent="0.35">
      <c r="A84" s="25" t="s">
        <v>83</v>
      </c>
      <c r="B84" s="30" cm="1">
        <f t="array" ref="B84">GEOMEAN(1+K84:AM84)-1</f>
        <v>0.10452838563059541</v>
      </c>
      <c r="C84" s="81" cm="1">
        <f t="array" ref="C84">GEOMEAN(1+M84:AM84)-1</f>
        <v>0.10029995091548227</v>
      </c>
      <c r="D84" s="81" cm="1">
        <f t="array" ref="D84">GEOMEAN(1+O84:AM84)-1</f>
        <v>6.8055582915929946E-2</v>
      </c>
      <c r="E84" s="81" cm="1">
        <f t="array" ref="E84">GEOMEAN(1+Y84:AM84)-1</f>
        <v>4.274197820299741E-2</v>
      </c>
      <c r="F84" s="81" cm="1">
        <f t="array" ref="F84">GEOMEAN(1+AI84:AM84)-1</f>
        <v>3.1782318772598295E-2</v>
      </c>
      <c r="G84" s="48">
        <v>0.32037980541928129</v>
      </c>
      <c r="H84" s="48">
        <v>0.32637874107093079</v>
      </c>
      <c r="I84" s="48">
        <f t="shared" si="3"/>
        <v>-0.10609161251838761</v>
      </c>
      <c r="J84" s="48">
        <f t="shared" si="4"/>
        <v>-0.11709722503668261</v>
      </c>
      <c r="K84" s="20">
        <v>0.49478880673083298</v>
      </c>
      <c r="L84" s="21">
        <v>-9.4788219216823205E-2</v>
      </c>
      <c r="M84" s="21">
        <v>0.340672810000205</v>
      </c>
      <c r="N84" s="21">
        <v>0.89946092052401105</v>
      </c>
      <c r="O84" s="21">
        <v>-7.6743376476601594E-2</v>
      </c>
      <c r="P84" s="21">
        <v>-0.12545800056610401</v>
      </c>
      <c r="Q84" s="21">
        <v>-5.9425789755411997E-2</v>
      </c>
      <c r="R84" s="21">
        <v>0.50947984105777799</v>
      </c>
      <c r="S84" s="21">
        <v>0.21048205068481701</v>
      </c>
      <c r="T84" s="21">
        <v>0.47960220318396302</v>
      </c>
      <c r="U84" s="21">
        <v>0.284207956779438</v>
      </c>
      <c r="V84" s="21">
        <v>-5.1463926433646903E-2</v>
      </c>
      <c r="W84" s="21">
        <v>-0.560275786461228</v>
      </c>
      <c r="X84" s="21">
        <v>1.5170804698082301</v>
      </c>
      <c r="Y84" s="21">
        <v>9.2794957775543405E-2</v>
      </c>
      <c r="Z84" s="21">
        <v>-0.134142888761871</v>
      </c>
      <c r="AA84" s="21">
        <v>4.5077498753907499E-2</v>
      </c>
      <c r="AB84" s="21">
        <v>-0.17410326290811301</v>
      </c>
      <c r="AC84" s="21">
        <v>-7.3229484723076901E-2</v>
      </c>
      <c r="AD84" s="21">
        <v>-0.14037852634530801</v>
      </c>
      <c r="AE84" s="21">
        <v>0.47540991879560801</v>
      </c>
      <c r="AF84" s="21">
        <v>0.36469070512568302</v>
      </c>
      <c r="AG84" s="21">
        <v>0.32468735397264797</v>
      </c>
      <c r="AH84" s="21">
        <v>-7.6762340942759896E-2</v>
      </c>
      <c r="AI84" s="21">
        <v>1.07574681797758</v>
      </c>
      <c r="AJ84" s="21">
        <v>-6.4445484868890596E-2</v>
      </c>
      <c r="AK84" s="21">
        <v>-0.39072891548768002</v>
      </c>
      <c r="AL84" s="21">
        <v>0.202822495126631</v>
      </c>
      <c r="AM84" s="22">
        <v>-0.17835386358859301</v>
      </c>
    </row>
    <row r="85" spans="1:39" x14ac:dyDescent="0.3">
      <c r="A85" s="23" t="s">
        <v>84</v>
      </c>
      <c r="B85" s="26" cm="1">
        <f t="array" ref="B85">GEOMEAN(1+K85:AM85)-1</f>
        <v>0.3169551624697029</v>
      </c>
      <c r="C85" s="75" cm="1">
        <f t="array" ref="C85">GEOMEAN(1+M85:AM85)-1</f>
        <v>0.24085125299014387</v>
      </c>
      <c r="D85" s="75" cm="1">
        <f t="array" ref="D85">GEOMEAN(1+O85:AM85)-1</f>
        <v>0.22788858458808403</v>
      </c>
      <c r="E85" s="75" cm="1">
        <f t="array" ref="E85">GEOMEAN(1+Y85:AM85)-1</f>
        <v>0.18493708213715654</v>
      </c>
      <c r="F85" s="75" cm="1">
        <f t="array" ref="F85">GEOMEAN(1+AI85:AM85)-1</f>
        <v>0.14706935093613605</v>
      </c>
      <c r="G85" s="45">
        <v>0.27647640777702881</v>
      </c>
      <c r="H85" s="45">
        <v>0.25945016381853353</v>
      </c>
      <c r="I85" s="45">
        <f t="shared" si="3"/>
        <v>0.64539744312561276</v>
      </c>
      <c r="J85" s="45">
        <f t="shared" si="4"/>
        <v>0.39442355972403353</v>
      </c>
      <c r="K85" s="14">
        <v>0.83860854956492104</v>
      </c>
      <c r="L85" s="15">
        <v>3.7058369018716402</v>
      </c>
      <c r="M85" s="15">
        <v>6.0023412671803798E-2</v>
      </c>
      <c r="N85" s="15">
        <v>0.888613253154931</v>
      </c>
      <c r="O85" s="15">
        <v>9.6000135828262903E-2</v>
      </c>
      <c r="P85" s="15">
        <v>0.42168659131770397</v>
      </c>
      <c r="Q85" s="15">
        <v>0.40758214188210601</v>
      </c>
      <c r="R85" s="15">
        <v>0.70253252322035997</v>
      </c>
      <c r="S85" s="15">
        <v>0.81816629493673998</v>
      </c>
      <c r="T85" s="15">
        <v>0.22537152433572299</v>
      </c>
      <c r="U85" s="15">
        <v>0.275385173981336</v>
      </c>
      <c r="V85" s="15">
        <v>8.3688617270768706E-2</v>
      </c>
      <c r="W85" s="15">
        <v>-0.25749291740504898</v>
      </c>
      <c r="X85" s="15">
        <v>0.55672959276374001</v>
      </c>
      <c r="Y85" s="15">
        <v>0.50258756211058497</v>
      </c>
      <c r="Z85" s="15">
        <v>0.247397507710262</v>
      </c>
      <c r="AA85" s="15">
        <v>0.236384526348145</v>
      </c>
      <c r="AB85" s="15">
        <v>-5.54627042132778E-2</v>
      </c>
      <c r="AC85" s="15">
        <v>-0.135793449430411</v>
      </c>
      <c r="AD85" s="15">
        <v>-0.12101122839333001</v>
      </c>
      <c r="AE85" s="15">
        <v>0.84204676129526101</v>
      </c>
      <c r="AF85" s="15">
        <v>0.34142142235727602</v>
      </c>
      <c r="AG85" s="15">
        <v>0.32920224769460799</v>
      </c>
      <c r="AH85" s="15">
        <v>0.17545447026980801</v>
      </c>
      <c r="AI85" s="15">
        <v>1.6245727289221199</v>
      </c>
      <c r="AJ85" s="15">
        <v>-0.106179725915616</v>
      </c>
      <c r="AK85" s="15">
        <v>-0.25167115330224799</v>
      </c>
      <c r="AL85" s="15">
        <v>0.187453965018442</v>
      </c>
      <c r="AM85" s="16">
        <v>-4.7356744645722398E-2</v>
      </c>
    </row>
    <row r="86" spans="1:39" x14ac:dyDescent="0.3">
      <c r="A86" s="24" t="s">
        <v>85</v>
      </c>
      <c r="B86" s="29" cm="1">
        <f t="array" ref="B86">GEOMEAN(1+K86:AM86)-1</f>
        <v>0.31583660896191845</v>
      </c>
      <c r="C86" s="80" cm="1">
        <f t="array" ref="C86">GEOMEAN(1+M86:AM86)-1</f>
        <v>0.26124656551008063</v>
      </c>
      <c r="D86" s="82" cm="1">
        <f t="array" ref="D86">GEOMEAN(1+O86:AM86)-1</f>
        <v>0.25482284276369249</v>
      </c>
      <c r="E86" s="82" cm="1">
        <f t="array" ref="E86">GEOMEAN(1+Y86:AM86)-1</f>
        <v>0.21216992067213991</v>
      </c>
      <c r="F86" s="80" cm="1">
        <f t="array" ref="F86">GEOMEAN(1+AI86:AM86)-1</f>
        <v>0.19529961447811583</v>
      </c>
      <c r="G86" s="46">
        <v>0.23099595621588417</v>
      </c>
      <c r="H86" s="46">
        <v>0.22217507449171253</v>
      </c>
      <c r="I86" s="46">
        <f t="shared" si="3"/>
        <v>0.76762648169626757</v>
      </c>
      <c r="J86" s="46">
        <f t="shared" si="4"/>
        <v>0.55239576259849243</v>
      </c>
      <c r="K86" s="17">
        <v>0.77981021923052496</v>
      </c>
      <c r="L86" s="18">
        <v>2.0541009122947398</v>
      </c>
      <c r="M86" s="18">
        <v>5.4945597609058698E-2</v>
      </c>
      <c r="N86" s="18">
        <v>0.71320544139333497</v>
      </c>
      <c r="O86" s="18">
        <v>0.119944839164496</v>
      </c>
      <c r="P86" s="18">
        <v>0.13736999211466799</v>
      </c>
      <c r="Q86" s="18">
        <v>0.52024774112003302</v>
      </c>
      <c r="R86" s="18">
        <v>0.96867815882724995</v>
      </c>
      <c r="S86" s="18">
        <v>0.52584273614125099</v>
      </c>
      <c r="T86" s="18">
        <v>0.15774740150872599</v>
      </c>
      <c r="U86" s="18">
        <v>0.48336426770580498</v>
      </c>
      <c r="V86" s="18">
        <v>0.49349993860820002</v>
      </c>
      <c r="W86" s="18">
        <v>-0.33522744160114898</v>
      </c>
      <c r="X86" s="18">
        <v>0.63934616942881495</v>
      </c>
      <c r="Y86" s="18">
        <v>0.56323112943720099</v>
      </c>
      <c r="Z86" s="18">
        <v>0.29336824141596701</v>
      </c>
      <c r="AA86" s="18">
        <v>0.26037975716019002</v>
      </c>
      <c r="AB86" s="18">
        <v>-0.14337359119753801</v>
      </c>
      <c r="AC86" s="18">
        <v>-5.2558547785636497E-2</v>
      </c>
      <c r="AD86" s="18">
        <v>1.9082414569441899E-2</v>
      </c>
      <c r="AE86" s="18">
        <v>0.76844816135133398</v>
      </c>
      <c r="AF86" s="18">
        <v>0.27433777678995402</v>
      </c>
      <c r="AG86" s="18">
        <v>0.33408563700319599</v>
      </c>
      <c r="AH86" s="18">
        <v>0.15933271963186799</v>
      </c>
      <c r="AI86" s="18">
        <v>0.99406836457131198</v>
      </c>
      <c r="AJ86" s="18">
        <v>4.1265140381408799E-2</v>
      </c>
      <c r="AK86" s="18">
        <v>-0.12638909398933099</v>
      </c>
      <c r="AL86" s="18">
        <v>0.35531092359691002</v>
      </c>
      <c r="AM86" s="19">
        <v>-7.5113736192463599E-3</v>
      </c>
    </row>
    <row r="87" spans="1:39" x14ac:dyDescent="0.3">
      <c r="A87" s="24" t="s">
        <v>86</v>
      </c>
      <c r="B87" s="29" cm="1">
        <f t="array" ref="B87">GEOMEAN(1+K87:AM87)-1</f>
        <v>0.28685912052391194</v>
      </c>
      <c r="C87" s="80" cm="1">
        <f t="array" ref="C87">GEOMEAN(1+M87:AM87)-1</f>
        <v>0.24427729038661661</v>
      </c>
      <c r="D87" s="80" cm="1">
        <f t="array" ref="D87">GEOMEAN(1+O87:AM87)-1</f>
        <v>0.2319031829410394</v>
      </c>
      <c r="E87" s="80" cm="1">
        <f t="array" ref="E87">GEOMEAN(1+Y87:AM87)-1</f>
        <v>0.18444384553483628</v>
      </c>
      <c r="F87" s="80" cm="1">
        <f t="array" ref="F87">GEOMEAN(1+AI87:AM87)-1</f>
        <v>0.18814129713413763</v>
      </c>
      <c r="G87" s="46">
        <v>0.21213983553896848</v>
      </c>
      <c r="H87" s="46">
        <v>0.20699917277424559</v>
      </c>
      <c r="I87" s="46">
        <f t="shared" si="3"/>
        <v>0.69926105269751926</v>
      </c>
      <c r="J87" s="46">
        <f t="shared" si="4"/>
        <v>0.510916508328775</v>
      </c>
      <c r="K87" s="17">
        <v>0.66846348663565303</v>
      </c>
      <c r="L87" s="18">
        <v>1.46217386388518</v>
      </c>
      <c r="M87" s="18">
        <v>7.0706509723215294E-2</v>
      </c>
      <c r="N87" s="18">
        <v>0.85643113070922805</v>
      </c>
      <c r="O87" s="18">
        <v>0.135828553687563</v>
      </c>
      <c r="P87" s="18">
        <v>0.158258283684654</v>
      </c>
      <c r="Q87" s="18">
        <v>0.45299276077913703</v>
      </c>
      <c r="R87" s="18">
        <v>0.81478266772010899</v>
      </c>
      <c r="S87" s="18">
        <v>0.62097019762978201</v>
      </c>
      <c r="T87" s="18">
        <v>0.229835899833014</v>
      </c>
      <c r="U87" s="18">
        <v>0.37423425038687602</v>
      </c>
      <c r="V87" s="18">
        <v>0.36453267773110198</v>
      </c>
      <c r="W87" s="18">
        <v>-0.31050929090026502</v>
      </c>
      <c r="X87" s="18">
        <v>0.62291473830851496</v>
      </c>
      <c r="Y87" s="18">
        <v>0.50015080831369496</v>
      </c>
      <c r="Z87" s="18">
        <v>0.16019062055001301</v>
      </c>
      <c r="AA87" s="18">
        <v>0.18798283575233499</v>
      </c>
      <c r="AB87" s="18">
        <v>-0.102056549776239</v>
      </c>
      <c r="AC87" s="18">
        <v>1.9054716000710399E-3</v>
      </c>
      <c r="AD87" s="18">
        <v>-4.93969079102052E-3</v>
      </c>
      <c r="AE87" s="18">
        <v>0.653134377185149</v>
      </c>
      <c r="AF87" s="18">
        <v>0.27077163710427898</v>
      </c>
      <c r="AG87" s="18">
        <v>0.30026996902811998</v>
      </c>
      <c r="AH87" s="18">
        <v>5.8200349928116103E-2</v>
      </c>
      <c r="AI87" s="18">
        <v>1.1340592148669899</v>
      </c>
      <c r="AJ87" s="18">
        <v>4.1755060230578997E-2</v>
      </c>
      <c r="AK87" s="18">
        <v>-0.12816641077215299</v>
      </c>
      <c r="AL87" s="18">
        <v>0.37834517965176201</v>
      </c>
      <c r="AM87" s="19">
        <v>-0.11370809468323401</v>
      </c>
    </row>
    <row r="88" spans="1:39" x14ac:dyDescent="0.3">
      <c r="A88" s="24" t="s">
        <v>87</v>
      </c>
      <c r="B88" s="29" cm="1">
        <f t="array" ref="B88">GEOMEAN(1+K88:AM88)-1</f>
        <v>0.30225407047199626</v>
      </c>
      <c r="C88" s="82" cm="1">
        <f t="array" ref="C88">GEOMEAN(1+M88:AM88)-1</f>
        <v>0.27109533544418563</v>
      </c>
      <c r="D88" s="80" cm="1">
        <f t="array" ref="D88">GEOMEAN(1+O88:AM88)-1</f>
        <v>0.24667163774186629</v>
      </c>
      <c r="E88" s="80" cm="1">
        <f t="array" ref="E88">GEOMEAN(1+Y88:AM88)-1</f>
        <v>0.17972357146951623</v>
      </c>
      <c r="F88" s="80" cm="1">
        <f t="array" ref="F88">GEOMEAN(1+AI88:AM88)-1</f>
        <v>0.18395850778461953</v>
      </c>
      <c r="G88" s="46">
        <v>0.20638487285171406</v>
      </c>
      <c r="H88" s="46">
        <v>0.2047046869933794</v>
      </c>
      <c r="I88" s="47">
        <f t="shared" si="3"/>
        <v>0.79335308059997767</v>
      </c>
      <c r="J88" s="47">
        <f t="shared" si="4"/>
        <v>0.6476517054180555</v>
      </c>
      <c r="K88" s="17">
        <v>0.60992594263172994</v>
      </c>
      <c r="L88" s="18">
        <v>1.0256327530109599</v>
      </c>
      <c r="M88" s="18">
        <v>0.109146545256286</v>
      </c>
      <c r="N88" s="18">
        <v>1.3660202824404599</v>
      </c>
      <c r="O88" s="18">
        <v>0.25006975085820199</v>
      </c>
      <c r="P88" s="18">
        <v>0.231150577605509</v>
      </c>
      <c r="Q88" s="18">
        <v>0.385510553359109</v>
      </c>
      <c r="R88" s="18">
        <v>0.95469551468233105</v>
      </c>
      <c r="S88" s="18">
        <v>0.62807684883093196</v>
      </c>
      <c r="T88" s="18">
        <v>0.38342500907221999</v>
      </c>
      <c r="U88" s="18">
        <v>0.43012192807975702</v>
      </c>
      <c r="V88" s="18">
        <v>0.27447339933974901</v>
      </c>
      <c r="W88" s="18">
        <v>-0.308834794576617</v>
      </c>
      <c r="X88" s="18">
        <v>0.75488039297388698</v>
      </c>
      <c r="Y88" s="18">
        <v>0.47819747043416</v>
      </c>
      <c r="Z88" s="18">
        <v>0.145451969355888</v>
      </c>
      <c r="AA88" s="18">
        <v>0.130416608444616</v>
      </c>
      <c r="AB88" s="18">
        <v>1.6859735617611401E-3</v>
      </c>
      <c r="AC88" s="18">
        <v>-1.10475132842304E-2</v>
      </c>
      <c r="AD88" s="18">
        <v>-5.0507264119531402E-3</v>
      </c>
      <c r="AE88" s="18">
        <v>0.56691389711345697</v>
      </c>
      <c r="AF88" s="18">
        <v>0.19393700130726599</v>
      </c>
      <c r="AG88" s="18">
        <v>0.29690242318708698</v>
      </c>
      <c r="AH88" s="18">
        <v>0.120551364081395</v>
      </c>
      <c r="AI88" s="18">
        <v>0.97369723841179401</v>
      </c>
      <c r="AJ88" s="18">
        <v>4.4563423861561098E-2</v>
      </c>
      <c r="AK88" s="18">
        <v>-0.12794245949702901</v>
      </c>
      <c r="AL88" s="18">
        <v>0.41406762720942702</v>
      </c>
      <c r="AM88" s="19">
        <v>-8.4935423274246497E-2</v>
      </c>
    </row>
    <row r="89" spans="1:39" ht="15" thickBot="1" x14ac:dyDescent="0.35">
      <c r="A89" s="25" t="s">
        <v>88</v>
      </c>
      <c r="B89" s="30" cm="1">
        <f t="array" ref="B89">GEOMEAN(1+K89:AM89)-1</f>
        <v>0.28492984441718283</v>
      </c>
      <c r="C89" s="81" cm="1">
        <f t="array" ref="C89">GEOMEAN(1+M89:AM89)-1</f>
        <v>0.26070718694383821</v>
      </c>
      <c r="D89" s="81" cm="1">
        <f t="array" ref="D89">GEOMEAN(1+O89:AM89)-1</f>
        <v>0.24197281871546195</v>
      </c>
      <c r="E89" s="81" cm="1">
        <f t="array" ref="E89">GEOMEAN(1+Y89:AM89)-1</f>
        <v>0.17710085506976414</v>
      </c>
      <c r="F89" s="13" cm="1">
        <f t="array" ref="F89">GEOMEAN(1+AI89:AM89)-1</f>
        <v>0.19990327501943006</v>
      </c>
      <c r="G89" s="48">
        <v>0.19557299113924106</v>
      </c>
      <c r="H89" s="48">
        <v>0.19533513492682736</v>
      </c>
      <c r="I89" s="48">
        <f t="shared" si="3"/>
        <v>0.74863020582984563</v>
      </c>
      <c r="J89" s="48">
        <f t="shared" si="4"/>
        <v>0.62553616472405804</v>
      </c>
      <c r="K89" s="20">
        <v>0.65099232127629603</v>
      </c>
      <c r="L89" s="21">
        <v>0.67175968664822405</v>
      </c>
      <c r="M89" s="21">
        <v>6.6223388396064106E-2</v>
      </c>
      <c r="N89" s="21">
        <v>1.1673731514900301</v>
      </c>
      <c r="O89" s="21">
        <v>0.244249676632142</v>
      </c>
      <c r="P89" s="21">
        <v>0.248072937519836</v>
      </c>
      <c r="Q89" s="21">
        <v>0.29017527237222202</v>
      </c>
      <c r="R89" s="21">
        <v>0.85043561658306199</v>
      </c>
      <c r="S89" s="21">
        <v>0.52848362828925599</v>
      </c>
      <c r="T89" s="21">
        <v>0.37987399744149802</v>
      </c>
      <c r="U89" s="21">
        <v>0.44091569449201501</v>
      </c>
      <c r="V89" s="21">
        <v>0.22113614697176801</v>
      </c>
      <c r="W89" s="21">
        <v>-0.29353897673095702</v>
      </c>
      <c r="X89" s="21">
        <v>1.0087961558279099</v>
      </c>
      <c r="Y89" s="21">
        <v>0.391742342643839</v>
      </c>
      <c r="Z89" s="21">
        <v>0.13891216346556101</v>
      </c>
      <c r="AA89" s="21">
        <v>0.192317312175631</v>
      </c>
      <c r="AB89" s="21">
        <v>-4.1212583691377898E-3</v>
      </c>
      <c r="AC89" s="21">
        <v>2.40905461151053E-3</v>
      </c>
      <c r="AD89" s="21">
        <v>-9.7364594650851694E-3</v>
      </c>
      <c r="AE89" s="21">
        <v>0.499761010681397</v>
      </c>
      <c r="AF89" s="21">
        <v>0.27343493316713802</v>
      </c>
      <c r="AG89" s="21">
        <v>0.237546536063834</v>
      </c>
      <c r="AH89" s="21">
        <v>5.0679897588319402E-2</v>
      </c>
      <c r="AI89" s="21">
        <v>0.87474071474739701</v>
      </c>
      <c r="AJ89" s="21">
        <v>8.3989025214536606E-2</v>
      </c>
      <c r="AK89" s="21">
        <v>-0.113478664202718</v>
      </c>
      <c r="AL89" s="21">
        <v>0.39306616562999502</v>
      </c>
      <c r="AM89" s="22">
        <v>-8.9303871526220692E-3</v>
      </c>
    </row>
    <row r="90" spans="1:39" x14ac:dyDescent="0.3">
      <c r="A90" s="35" t="s">
        <v>89</v>
      </c>
      <c r="B90" s="39" cm="1">
        <f t="array" ref="B90">GEOMEAN(1+K90:AM90)-1</f>
        <v>0.28377987565602214</v>
      </c>
      <c r="C90" s="101" cm="1">
        <f t="array" ref="C90">GEOMEAN(1+M90:AM90)-1</f>
        <v>0.24443412839134693</v>
      </c>
      <c r="D90" s="86" cm="1">
        <f t="array" ref="D90">GEOMEAN(1+O90:AM90)-1</f>
        <v>0.237771441891377</v>
      </c>
      <c r="E90" s="86" cm="1">
        <f t="array" ref="E90">GEOMEAN(1+Y90:AM90)-1</f>
        <v>0.1761098839775912</v>
      </c>
      <c r="F90" s="101" cm="1">
        <f t="array" ref="F90">GEOMEAN(1+AI90:AM90)-1</f>
        <v>0.19753581756901895</v>
      </c>
      <c r="G90" s="102">
        <v>0.20338670420428787</v>
      </c>
      <c r="H90" s="102">
        <v>0.20068002885183914</v>
      </c>
      <c r="I90" s="103">
        <f t="shared" si="3"/>
        <v>0.71421522079566424</v>
      </c>
      <c r="J90" s="102">
        <f t="shared" si="4"/>
        <v>0.52778611400185693</v>
      </c>
      <c r="K90" s="40">
        <v>0.77253520876885196</v>
      </c>
      <c r="L90" s="41">
        <v>1.1547149134613699</v>
      </c>
      <c r="M90" s="41">
        <v>3.3762439789066297E-2</v>
      </c>
      <c r="N90" s="41">
        <v>0.71320544139333497</v>
      </c>
      <c r="O90" s="41">
        <v>0.109747945353825</v>
      </c>
      <c r="P90" s="41">
        <v>0.158258283684654</v>
      </c>
      <c r="Q90" s="41">
        <v>0.52808510442856804</v>
      </c>
      <c r="R90" s="41">
        <v>0.96867815882724995</v>
      </c>
      <c r="S90" s="41">
        <v>0.57707701381984899</v>
      </c>
      <c r="T90" s="41">
        <v>0.229835899833014</v>
      </c>
      <c r="U90" s="41">
        <v>0.38002880018495599</v>
      </c>
      <c r="V90" s="41">
        <v>0.29059686859851902</v>
      </c>
      <c r="W90" s="41">
        <v>-0.27577060987397001</v>
      </c>
      <c r="X90" s="41">
        <v>0.87795837477644201</v>
      </c>
      <c r="Y90" s="41">
        <v>0.40084720840187699</v>
      </c>
      <c r="Z90" s="41">
        <v>0.13891216346556101</v>
      </c>
      <c r="AA90" s="41">
        <v>0.16367187251064999</v>
      </c>
      <c r="AB90" s="41">
        <v>1.0755949701533E-3</v>
      </c>
      <c r="AC90" s="41">
        <v>-1.13721315741515E-2</v>
      </c>
      <c r="AD90" s="41">
        <v>-4.53161120065326E-4</v>
      </c>
      <c r="AE90" s="41">
        <v>0.57797222145779903</v>
      </c>
      <c r="AF90" s="41">
        <v>0.19393700130726599</v>
      </c>
      <c r="AG90" s="41">
        <v>0.26585618339699502</v>
      </c>
      <c r="AH90" s="41">
        <v>5.6322171677328302E-2</v>
      </c>
      <c r="AI90" s="41">
        <v>0.80179076553657103</v>
      </c>
      <c r="AJ90" s="41">
        <v>8.3989025214536606E-2</v>
      </c>
      <c r="AK90" s="41">
        <v>-0.12234686388697399</v>
      </c>
      <c r="AL90" s="41">
        <v>0.43174357140842901</v>
      </c>
      <c r="AM90" s="42">
        <v>3.5179982010760101E-3</v>
      </c>
    </row>
    <row r="91" spans="1:39" x14ac:dyDescent="0.3">
      <c r="A91" s="24" t="s">
        <v>90</v>
      </c>
      <c r="B91" s="29" cm="1">
        <f t="array" ref="B91">GEOMEAN(1+K91:AM91)-1</f>
        <v>0.25804470513852551</v>
      </c>
      <c r="C91" s="82" cm="1">
        <f t="array" ref="C91">GEOMEAN(1+M91:AM91)-1</f>
        <v>0.26484233549937186</v>
      </c>
      <c r="D91" s="80" cm="1">
        <f t="array" ref="D91">GEOMEAN(1+O91:AM91)-1</f>
        <v>0.2288954286593059</v>
      </c>
      <c r="E91" s="80" cm="1">
        <f t="array" ref="E91">GEOMEAN(1+Y91:AM91)-1</f>
        <v>0.13623755467755072</v>
      </c>
      <c r="F91" s="82" cm="1">
        <f t="array" ref="F91">GEOMEAN(1+AI91:AM91)-1</f>
        <v>0.21348004063542492</v>
      </c>
      <c r="G91" s="46">
        <v>0.20416791167250031</v>
      </c>
      <c r="H91" s="46">
        <v>0.2048648520400892</v>
      </c>
      <c r="I91" s="46">
        <f t="shared" si="3"/>
        <v>0.58543337370468151</v>
      </c>
      <c r="J91" s="47">
        <f t="shared" si="4"/>
        <v>0.61662280491529964</v>
      </c>
      <c r="K91" s="17">
        <v>0.39739865073120001</v>
      </c>
      <c r="L91" s="18">
        <v>-2.0773381994101701E-2</v>
      </c>
      <c r="M91" s="18">
        <v>5.5239021233504798E-2</v>
      </c>
      <c r="N91" s="18">
        <v>2.11715617980785</v>
      </c>
      <c r="O91" s="18">
        <v>0.39390544102123398</v>
      </c>
      <c r="P91" s="18">
        <v>0.32065622494690099</v>
      </c>
      <c r="Q91" s="18">
        <v>0.190210297129488</v>
      </c>
      <c r="R91" s="18">
        <v>0.94071223990477304</v>
      </c>
      <c r="S91" s="18">
        <v>0.44399348862673499</v>
      </c>
      <c r="T91" s="18">
        <v>0.51061361546736705</v>
      </c>
      <c r="U91" s="18">
        <v>0.47239069932115602</v>
      </c>
      <c r="V91" s="18">
        <v>0.19934472386358501</v>
      </c>
      <c r="W91" s="18">
        <v>-0.27920105121287198</v>
      </c>
      <c r="X91" s="18">
        <v>1.15639498892062</v>
      </c>
      <c r="Y91" s="18">
        <v>0.21914743894615901</v>
      </c>
      <c r="Z91" s="18">
        <v>0.25262012382941701</v>
      </c>
      <c r="AA91" s="18">
        <v>0.176675064615051</v>
      </c>
      <c r="AB91" s="18">
        <v>-0.11618388165712901</v>
      </c>
      <c r="AC91" s="18">
        <v>-4.8628467136955303E-2</v>
      </c>
      <c r="AD91" s="18">
        <v>-9.1176535353643701E-2</v>
      </c>
      <c r="AE91" s="18">
        <v>0.29623025262916503</v>
      </c>
      <c r="AF91" s="18">
        <v>0.50989164552351796</v>
      </c>
      <c r="AG91" s="18">
        <v>0.153788215872976</v>
      </c>
      <c r="AH91" s="18">
        <v>-0.16747726450966099</v>
      </c>
      <c r="AI91" s="18">
        <v>1.0194060388177899</v>
      </c>
      <c r="AJ91" s="18">
        <v>0.13895097185642599</v>
      </c>
      <c r="AK91" s="18">
        <v>-8.8437226115246098E-2</v>
      </c>
      <c r="AL91" s="18">
        <v>0.31059972625556997</v>
      </c>
      <c r="AM91" s="19">
        <v>-4.2413857099031803E-2</v>
      </c>
    </row>
    <row r="92" spans="1:39" x14ac:dyDescent="0.3">
      <c r="A92" s="24" t="s">
        <v>91</v>
      </c>
      <c r="B92" s="29" cm="1">
        <f t="array" ref="B92">GEOMEAN(1+K92:AM92)-1</f>
        <v>0.19015019447028614</v>
      </c>
      <c r="C92" s="80" cm="1">
        <f t="array" ref="C92">GEOMEAN(1+M92:AM92)-1</f>
        <v>0.15549680938355559</v>
      </c>
      <c r="D92" s="80" cm="1">
        <f t="array" ref="D92">GEOMEAN(1+O92:AM92)-1</f>
        <v>0.16239180532132869</v>
      </c>
      <c r="E92" s="80" cm="1">
        <f t="array" ref="E92">GEOMEAN(1+Y92:AM92)-1</f>
        <v>6.4675121024786231E-2</v>
      </c>
      <c r="F92" s="80" cm="1">
        <f t="array" ref="F92">GEOMEAN(1+AI92:AM92)-1</f>
        <v>0.10538843469103498</v>
      </c>
      <c r="G92" s="46">
        <v>0.20659475766544202</v>
      </c>
      <c r="H92" s="46">
        <v>0.20768815338078972</v>
      </c>
      <c r="I92" s="46">
        <f t="shared" si="3"/>
        <v>0.24992017826533966</v>
      </c>
      <c r="J92" s="46">
        <f t="shared" si="4"/>
        <v>8.1751478364638572E-2</v>
      </c>
      <c r="K92" s="17">
        <v>0.73794275625851502</v>
      </c>
      <c r="L92" s="18">
        <v>0.80992113254117903</v>
      </c>
      <c r="M92" s="18">
        <v>-0.35305815735851898</v>
      </c>
      <c r="N92" s="18">
        <v>0.77859691937965703</v>
      </c>
      <c r="O92" s="18">
        <v>0.10691190366839599</v>
      </c>
      <c r="P92" s="18">
        <v>0.26966260211315402</v>
      </c>
      <c r="Q92" s="18">
        <v>0.177139213409996</v>
      </c>
      <c r="R92" s="18">
        <v>0.64049745740852904</v>
      </c>
      <c r="S92" s="18">
        <v>0.54620061469599901</v>
      </c>
      <c r="T92" s="18">
        <v>0.61306983822238603</v>
      </c>
      <c r="U92" s="18">
        <v>0.38513009503106599</v>
      </c>
      <c r="V92" s="18">
        <v>0.233463129357631</v>
      </c>
      <c r="W92" s="18">
        <v>-0.201219148684285</v>
      </c>
      <c r="X92" s="18">
        <v>0.81965365582548699</v>
      </c>
      <c r="Y92" s="18">
        <v>0.13451177939425599</v>
      </c>
      <c r="Z92" s="18">
        <v>1.8740125205047899E-2</v>
      </c>
      <c r="AA92" s="18">
        <v>0.11398088151239</v>
      </c>
      <c r="AB92" s="18">
        <v>-7.8891474967100805E-2</v>
      </c>
      <c r="AC92" s="18">
        <v>-0.189453246214216</v>
      </c>
      <c r="AD92" s="18">
        <v>-0.13782069723741</v>
      </c>
      <c r="AE92" s="18">
        <v>0.38532935358903903</v>
      </c>
      <c r="AF92" s="18">
        <v>0.39824629449499899</v>
      </c>
      <c r="AG92" s="18">
        <v>5.3793596402543602E-2</v>
      </c>
      <c r="AH92" s="18">
        <v>-8.3034257886228993E-2</v>
      </c>
      <c r="AI92" s="18">
        <v>0.51846550184939699</v>
      </c>
      <c r="AJ92" s="18">
        <v>6.6989372849849793E-2</v>
      </c>
      <c r="AK92" s="18">
        <v>-0.182779547475346</v>
      </c>
      <c r="AL92" s="18">
        <v>0.43287395285043601</v>
      </c>
      <c r="AM92" s="19">
        <v>-0.130113996110687</v>
      </c>
    </row>
    <row r="93" spans="1:39" x14ac:dyDescent="0.3">
      <c r="A93" s="24" t="s">
        <v>92</v>
      </c>
      <c r="B93" s="29" cm="1">
        <f t="array" ref="B93">GEOMEAN(1+K93:AM93)-1</f>
        <v>0.17014264846040517</v>
      </c>
      <c r="C93" s="80" cm="1">
        <f t="array" ref="C93">GEOMEAN(1+M93:AM93)-1</f>
        <v>0.16525992880770368</v>
      </c>
      <c r="D93" s="80" cm="1">
        <f t="array" ref="D93">GEOMEAN(1+O93:AM93)-1</f>
        <v>0.1355960786256607</v>
      </c>
      <c r="E93" s="80" cm="1">
        <f t="array" ref="E93">GEOMEAN(1+Y93:AM93)-1</f>
        <v>7.8159457199105775E-2</v>
      </c>
      <c r="F93" s="80" cm="1">
        <f t="array" ref="F93">GEOMEAN(1+AI93:AM93)-1</f>
        <v>0.10939341087975007</v>
      </c>
      <c r="G93" s="46">
        <v>0.26452234147597126</v>
      </c>
      <c r="H93" s="46">
        <v>0.26843207695322802</v>
      </c>
      <c r="I93" s="46">
        <f t="shared" si="3"/>
        <v>0.11955380584525664</v>
      </c>
      <c r="J93" s="46">
        <f t="shared" si="4"/>
        <v>9.9622717617719778E-2</v>
      </c>
      <c r="K93" s="17">
        <v>0.658997937882978</v>
      </c>
      <c r="L93" s="18">
        <v>-7.6017656102976103E-2</v>
      </c>
      <c r="M93" s="18">
        <v>0.39307226903937098</v>
      </c>
      <c r="N93" s="18">
        <v>0.85714227148407396</v>
      </c>
      <c r="O93" s="18">
        <v>-5.9717146531290698E-2</v>
      </c>
      <c r="P93" s="18">
        <v>-4.7105361967960703E-3</v>
      </c>
      <c r="Q93" s="18">
        <v>0.14512660947482101</v>
      </c>
      <c r="R93" s="18">
        <v>1.17407366537852</v>
      </c>
      <c r="S93" s="18">
        <v>0.30359297418575698</v>
      </c>
      <c r="T93" s="18">
        <v>0.265795217031223</v>
      </c>
      <c r="U93" s="18">
        <v>0.55855536633501701</v>
      </c>
      <c r="V93" s="18">
        <v>2.1267548958603401E-3</v>
      </c>
      <c r="W93" s="18">
        <v>-0.392732174240081</v>
      </c>
      <c r="X93" s="18">
        <v>1.13052111688779</v>
      </c>
      <c r="Y93" s="18">
        <v>0.108454885769786</v>
      </c>
      <c r="Z93" s="18">
        <v>-1.8236864790996499E-2</v>
      </c>
      <c r="AA93" s="18">
        <v>4.9948409800090403E-2</v>
      </c>
      <c r="AB93" s="18">
        <v>-8.8863385469828707E-2</v>
      </c>
      <c r="AC93" s="18">
        <v>-9.6806086784123196E-2</v>
      </c>
      <c r="AD93" s="18">
        <v>1.2752373327727299E-2</v>
      </c>
      <c r="AE93" s="18">
        <v>0.27762207602613098</v>
      </c>
      <c r="AF93" s="18">
        <v>0.35157039108162202</v>
      </c>
      <c r="AG93" s="18">
        <v>0.233155309533504</v>
      </c>
      <c r="AH93" s="18">
        <v>-9.2602219110257594E-2</v>
      </c>
      <c r="AI93" s="18">
        <v>0.80258023881985996</v>
      </c>
      <c r="AJ93" s="18">
        <v>-0.16592159340392101</v>
      </c>
      <c r="AK93" s="18">
        <v>-0.178202281068471</v>
      </c>
      <c r="AL93" s="18">
        <v>0.37051151128266802</v>
      </c>
      <c r="AM93" s="19">
        <v>-7.6181612190713297E-3</v>
      </c>
    </row>
    <row r="94" spans="1:39" ht="15" thickBot="1" x14ac:dyDescent="0.35">
      <c r="A94" s="25" t="s">
        <v>93</v>
      </c>
      <c r="B94" s="30" cm="1">
        <f t="array" ref="B94">GEOMEAN(1+K94:AM94)-1</f>
        <v>8.5928315551371925E-2</v>
      </c>
      <c r="C94" s="81" cm="1">
        <f t="array" ref="C94">GEOMEAN(1+M94:AM94)-1</f>
        <v>9.3831085423884186E-2</v>
      </c>
      <c r="D94" s="81" cm="1">
        <f t="array" ref="D94">GEOMEAN(1+O94:AM94)-1</f>
        <v>9.3347032162070853E-2</v>
      </c>
      <c r="E94" s="81" cm="1">
        <f t="array" ref="E94">GEOMEAN(1+Y94:AM94)-1</f>
        <v>3.1527884579827692E-2</v>
      </c>
      <c r="F94" s="81" cm="1">
        <f t="array" ref="F94">GEOMEAN(1+AI94:AM94)-1</f>
        <v>3.5095706191112352E-2</v>
      </c>
      <c r="G94" s="48">
        <v>0.22685472737038778</v>
      </c>
      <c r="H94" s="48">
        <v>0.22998560464046913</v>
      </c>
      <c r="I94" s="48">
        <f t="shared" si="3"/>
        <v>-0.23182095812629308</v>
      </c>
      <c r="J94" s="48">
        <f t="shared" si="4"/>
        <v>-0.19430307584610779</v>
      </c>
      <c r="K94" s="20">
        <v>0.144207636070702</v>
      </c>
      <c r="L94" s="21">
        <v>-0.15263276217517799</v>
      </c>
      <c r="M94" s="21">
        <v>-0.223385973157079</v>
      </c>
      <c r="N94" s="21">
        <v>0.55776185908432296</v>
      </c>
      <c r="O94" s="21">
        <v>0.22627028249527001</v>
      </c>
      <c r="P94" s="21">
        <v>2.5293125034165701E-2</v>
      </c>
      <c r="Q94" s="21">
        <v>-6.2807184266044397E-2</v>
      </c>
      <c r="R94" s="21">
        <v>0.57303176947762102</v>
      </c>
      <c r="S94" s="21">
        <v>0.260222828901926</v>
      </c>
      <c r="T94" s="21">
        <v>0.72111549190672297</v>
      </c>
      <c r="U94" s="21">
        <v>0.247198152047339</v>
      </c>
      <c r="V94" s="21">
        <v>1.35608701879208E-2</v>
      </c>
      <c r="W94" s="21">
        <v>-0.54370606685145895</v>
      </c>
      <c r="X94" s="21">
        <v>1.5202761803664699</v>
      </c>
      <c r="Y94" s="21">
        <v>4.1032244612445402E-2</v>
      </c>
      <c r="Z94" s="21">
        <v>-0.121614506041533</v>
      </c>
      <c r="AA94" s="21">
        <v>9.2093390261357905E-2</v>
      </c>
      <c r="AB94" s="21">
        <v>-7.5609079540978105E-2</v>
      </c>
      <c r="AC94" s="21">
        <v>-9.88073410761168E-2</v>
      </c>
      <c r="AD94" s="21">
        <v>-9.2023445218111996E-2</v>
      </c>
      <c r="AE94" s="21">
        <v>0.269180241352655</v>
      </c>
      <c r="AF94" s="21">
        <v>0.22215527128915799</v>
      </c>
      <c r="AG94" s="21">
        <v>0.163149982821086</v>
      </c>
      <c r="AH94" s="21">
        <v>-1.62843532191498E-2</v>
      </c>
      <c r="AI94" s="21">
        <v>0.98525886045723399</v>
      </c>
      <c r="AJ94" s="21">
        <v>-3.9363938336567303E-2</v>
      </c>
      <c r="AK94" s="21">
        <v>-0.43499375116731198</v>
      </c>
      <c r="AL94" s="21">
        <v>0.30356653891958002</v>
      </c>
      <c r="AM94" s="22">
        <v>-0.154059044787837</v>
      </c>
    </row>
    <row r="95" spans="1:39" x14ac:dyDescent="0.3">
      <c r="A95" s="23" t="s">
        <v>94</v>
      </c>
      <c r="B95" s="26" cm="1">
        <f t="array" ref="B95">GEOMEAN(1+K95:AM95)-1</f>
        <v>0.30060191815028414</v>
      </c>
      <c r="C95" s="12" cm="1">
        <f t="array" ref="C95">GEOMEAN(1+M95:AM95)-1</f>
        <v>0.29469703848833007</v>
      </c>
      <c r="D95" s="12" cm="1">
        <f t="array" ref="D95">GEOMEAN(1+O95:AM95)-1</f>
        <v>0.29085887705747981</v>
      </c>
      <c r="E95" s="12" cm="1">
        <f t="array" ref="E95">GEOMEAN(1+Y95:AM95)-1</f>
        <v>0.23557747459788114</v>
      </c>
      <c r="F95" s="75" cm="1">
        <f t="array" ref="F95">GEOMEAN(1+AI95:AM95)-1</f>
        <v>0.14969698809046306</v>
      </c>
      <c r="G95" s="45">
        <v>0.26189826793482474</v>
      </c>
      <c r="H95" s="45">
        <v>0.26451109758004471</v>
      </c>
      <c r="I95" s="45">
        <f t="shared" si="3"/>
        <v>0.61888123057295541</v>
      </c>
      <c r="J95" s="45">
        <f t="shared" si="4"/>
        <v>0.59044419728066011</v>
      </c>
      <c r="K95" s="14">
        <v>0.68641222529266399</v>
      </c>
      <c r="L95" s="15">
        <v>0.13418369434108901</v>
      </c>
      <c r="M95" s="15">
        <v>7.0879955638689707E-2</v>
      </c>
      <c r="N95" s="15">
        <v>0.68589391105424302</v>
      </c>
      <c r="O95" s="15">
        <v>0.203242762781949</v>
      </c>
      <c r="P95" s="15">
        <v>0.29414654323024397</v>
      </c>
      <c r="Q95" s="15">
        <v>0.52365956958536297</v>
      </c>
      <c r="R95" s="15">
        <v>0.94348018549750401</v>
      </c>
      <c r="S95" s="15">
        <v>0.91360600981388995</v>
      </c>
      <c r="T95" s="15">
        <v>2.6598670668355199E-2</v>
      </c>
      <c r="U95" s="15">
        <v>0.258690263985489</v>
      </c>
      <c r="V95" s="15">
        <v>0.77947078292125105</v>
      </c>
      <c r="W95" s="15">
        <v>-0.35987849583297898</v>
      </c>
      <c r="X95" s="15">
        <v>0.90716934554925899</v>
      </c>
      <c r="Y95" s="15">
        <v>0.53940915983705495</v>
      </c>
      <c r="Z95" s="15">
        <v>0.152538029606158</v>
      </c>
      <c r="AA95" s="15">
        <v>0.277612385264218</v>
      </c>
      <c r="AB95" s="15">
        <v>-0.109987578156474</v>
      </c>
      <c r="AC95" s="15">
        <v>-1.5384886108925499E-2</v>
      </c>
      <c r="AD95" s="15">
        <v>-0.12438409593604501</v>
      </c>
      <c r="AE95" s="15">
        <v>1.1196545939740501</v>
      </c>
      <c r="AF95" s="15">
        <v>0.91216274365573002</v>
      </c>
      <c r="AG95" s="15">
        <v>0.32516785757753802</v>
      </c>
      <c r="AH95" s="15">
        <v>0.27258638244637601</v>
      </c>
      <c r="AI95" s="15">
        <v>1.16711230828121</v>
      </c>
      <c r="AJ95" s="15">
        <v>0.19196543379362899</v>
      </c>
      <c r="AK95" s="15">
        <v>-0.159378502463254</v>
      </c>
      <c r="AL95" s="15">
        <v>0.21275571432141699</v>
      </c>
      <c r="AM95" s="16">
        <v>-0.23722216238153801</v>
      </c>
    </row>
    <row r="96" spans="1:39" x14ac:dyDescent="0.3">
      <c r="A96" s="24" t="s">
        <v>95</v>
      </c>
      <c r="B96" s="29" cm="1">
        <f t="array" ref="B96">GEOMEAN(1+K96:AM96)-1</f>
        <v>0.29715341248127602</v>
      </c>
      <c r="C96" s="80" cm="1">
        <f t="array" ref="C96">GEOMEAN(1+M96:AM96)-1</f>
        <v>0.29456397255075784</v>
      </c>
      <c r="D96" s="80" cm="1">
        <f t="array" ref="D96">GEOMEAN(1+O96:AM96)-1</f>
        <v>0.27404349652973137</v>
      </c>
      <c r="E96" s="80" cm="1">
        <f t="array" ref="E96">GEOMEAN(1+Y96:AM96)-1</f>
        <v>0.21503078610808513</v>
      </c>
      <c r="F96" s="80" cm="1">
        <f t="array" ref="F96">GEOMEAN(1+AI96:AM96)-1</f>
        <v>0.18662972023216762</v>
      </c>
      <c r="G96" s="46">
        <v>0.22004739953178595</v>
      </c>
      <c r="H96" s="46">
        <v>0.22080147135660502</v>
      </c>
      <c r="I96" s="47">
        <f t="shared" si="3"/>
        <v>0.72091475297124263</v>
      </c>
      <c r="J96" s="47">
        <f t="shared" si="4"/>
        <v>0.70672525769940109</v>
      </c>
      <c r="K96" s="17">
        <v>0.51734590729360697</v>
      </c>
      <c r="L96" s="18">
        <v>0.170386729944354</v>
      </c>
      <c r="M96" s="18">
        <v>0.258856527549579</v>
      </c>
      <c r="N96" s="18">
        <v>0.984962596002666</v>
      </c>
      <c r="O96" s="18">
        <v>0.26755381376051002</v>
      </c>
      <c r="P96" s="18">
        <v>0.20012731651825</v>
      </c>
      <c r="Q96" s="18">
        <v>0.50962938199157404</v>
      </c>
      <c r="R96" s="18">
        <v>1.40010120496685</v>
      </c>
      <c r="S96" s="18">
        <v>0.61667403497058404</v>
      </c>
      <c r="T96" s="18">
        <v>-3.0952488123092099E-2</v>
      </c>
      <c r="U96" s="18">
        <v>0.32884927426778099</v>
      </c>
      <c r="V96" s="18">
        <v>0.44732195574241601</v>
      </c>
      <c r="W96" s="18">
        <v>-0.25137241629833901</v>
      </c>
      <c r="X96" s="18">
        <v>0.84598979480604897</v>
      </c>
      <c r="Y96" s="18">
        <v>0.43679751556666202</v>
      </c>
      <c r="Z96" s="18">
        <v>0.235317987337435</v>
      </c>
      <c r="AA96" s="18">
        <v>0.30056973641197798</v>
      </c>
      <c r="AB96" s="18">
        <v>5.4609985951371301E-2</v>
      </c>
      <c r="AC96" s="18">
        <v>-3.6813210220774398E-2</v>
      </c>
      <c r="AD96" s="18">
        <v>-0.110731880703831</v>
      </c>
      <c r="AE96" s="18">
        <v>0.80875026811831796</v>
      </c>
      <c r="AF96" s="18">
        <v>0.60926905678413001</v>
      </c>
      <c r="AG96" s="18">
        <v>0.129292788235188</v>
      </c>
      <c r="AH96" s="18">
        <v>0.151532509243677</v>
      </c>
      <c r="AI96" s="18">
        <v>0.67667721868850195</v>
      </c>
      <c r="AJ96" s="18">
        <v>0.168061363175281</v>
      </c>
      <c r="AK96" s="18">
        <v>-0.112845192982948</v>
      </c>
      <c r="AL96" s="18">
        <v>0.37428210497678299</v>
      </c>
      <c r="AM96" s="19">
        <v>-1.46609754417284E-2</v>
      </c>
    </row>
    <row r="97" spans="1:39" x14ac:dyDescent="0.3">
      <c r="A97" s="24" t="s">
        <v>96</v>
      </c>
      <c r="B97" s="29" cm="1">
        <f t="array" ref="B97">GEOMEAN(1+K97:AM97)-1</f>
        <v>0.26912481473438854</v>
      </c>
      <c r="C97" s="80" cm="1">
        <f t="array" ref="C97">GEOMEAN(1+M97:AM97)-1</f>
        <v>0.26317647994447135</v>
      </c>
      <c r="D97" s="80" cm="1">
        <f t="array" ref="D97">GEOMEAN(1+O97:AM97)-1</f>
        <v>0.24488913442394611</v>
      </c>
      <c r="E97" s="80" cm="1">
        <f t="array" ref="E97">GEOMEAN(1+Y97:AM97)-1</f>
        <v>0.20467037480435524</v>
      </c>
      <c r="F97" s="80" cm="1">
        <f t="array" ref="F97">GEOMEAN(1+AI97:AM97)-1</f>
        <v>0.19118972958726799</v>
      </c>
      <c r="G97" s="46">
        <v>0.19974188513489954</v>
      </c>
      <c r="H97" s="46">
        <v>0.20115648241687581</v>
      </c>
      <c r="I97" s="46">
        <f t="shared" si="3"/>
        <v>0.6538779727663353</v>
      </c>
      <c r="J97" s="46">
        <f t="shared" si="4"/>
        <v>0.61970900783736826</v>
      </c>
      <c r="K97" s="17">
        <v>0.53667570781547502</v>
      </c>
      <c r="L97" s="18">
        <v>0.18991156522063701</v>
      </c>
      <c r="M97" s="18">
        <v>0.13583680219556801</v>
      </c>
      <c r="N97" s="18">
        <v>1.0227675651158099</v>
      </c>
      <c r="O97" s="18">
        <v>0.18267212730337101</v>
      </c>
      <c r="P97" s="18">
        <v>0.19681871404624299</v>
      </c>
      <c r="Q97" s="18">
        <v>0.51430241892071904</v>
      </c>
      <c r="R97" s="18">
        <v>1.15375330831145</v>
      </c>
      <c r="S97" s="18">
        <v>0.54404880583877302</v>
      </c>
      <c r="T97" s="18">
        <v>1.2452891005206201E-2</v>
      </c>
      <c r="U97" s="18">
        <v>0.26086175813818102</v>
      </c>
      <c r="V97" s="18">
        <v>0.37155699708300899</v>
      </c>
      <c r="W97" s="18">
        <v>-0.28897993030805003</v>
      </c>
      <c r="X97" s="18">
        <v>0.64870557533350504</v>
      </c>
      <c r="Y97" s="18">
        <v>0.48865992620849602</v>
      </c>
      <c r="Z97" s="18">
        <v>0.206623934447274</v>
      </c>
      <c r="AA97" s="18">
        <v>0.24014814635640699</v>
      </c>
      <c r="AB97" s="18">
        <v>-7.9093213043435195E-3</v>
      </c>
      <c r="AC97" s="18">
        <v>-4.68827831523774E-2</v>
      </c>
      <c r="AD97" s="18">
        <v>-6.3508989007128203E-2</v>
      </c>
      <c r="AE97" s="18">
        <v>0.74438855436978202</v>
      </c>
      <c r="AF97" s="18">
        <v>0.45356062906931899</v>
      </c>
      <c r="AG97" s="18">
        <v>0.200959472988292</v>
      </c>
      <c r="AH97" s="18">
        <v>0.13363102479202099</v>
      </c>
      <c r="AI97" s="18">
        <v>0.72208928901858105</v>
      </c>
      <c r="AJ97" s="18">
        <v>0.14433460953939201</v>
      </c>
      <c r="AK97" s="18">
        <v>-9.0525410155017597E-2</v>
      </c>
      <c r="AL97" s="18">
        <v>0.34783666433104399</v>
      </c>
      <c r="AM97" s="19">
        <v>-7.18537252905349E-3</v>
      </c>
    </row>
    <row r="98" spans="1:39" x14ac:dyDescent="0.3">
      <c r="A98" s="24" t="s">
        <v>97</v>
      </c>
      <c r="B98" s="29" cm="1">
        <f t="array" ref="B98">GEOMEAN(1+K98:AM98)-1</f>
        <v>0.27279206593407124</v>
      </c>
      <c r="C98" s="80" cm="1">
        <f t="array" ref="C98">GEOMEAN(1+M98:AM98)-1</f>
        <v>0.26956345718169472</v>
      </c>
      <c r="D98" s="80" cm="1">
        <f t="array" ref="D98">GEOMEAN(1+O98:AM98)-1</f>
        <v>0.25257958696076499</v>
      </c>
      <c r="E98" s="80" cm="1">
        <f t="array" ref="E98">GEOMEAN(1+Y98:AM98)-1</f>
        <v>0.20920181549961891</v>
      </c>
      <c r="F98" s="80" cm="1">
        <f t="array" ref="F98">GEOMEAN(1+AI98:AM98)-1</f>
        <v>0.18225115298909378</v>
      </c>
      <c r="G98" s="46">
        <v>0.19096060572077597</v>
      </c>
      <c r="H98" s="46">
        <v>0.19229822609918276</v>
      </c>
      <c r="I98" s="46">
        <f t="shared" si="3"/>
        <v>0.70315062953116925</v>
      </c>
      <c r="J98" s="46">
        <f t="shared" si="4"/>
        <v>0.68146994402460281</v>
      </c>
      <c r="K98" s="17">
        <v>0.50285713966199597</v>
      </c>
      <c r="L98" s="18">
        <v>0.154461530359185</v>
      </c>
      <c r="M98" s="18">
        <v>0.180477164440973</v>
      </c>
      <c r="N98" s="18">
        <v>0.91195789179629205</v>
      </c>
      <c r="O98" s="18">
        <v>0.22795793758578201</v>
      </c>
      <c r="P98" s="18">
        <v>0.18462409542004499</v>
      </c>
      <c r="Q98" s="18">
        <v>0.51164655022137095</v>
      </c>
      <c r="R98" s="18">
        <v>1.1197558730408601</v>
      </c>
      <c r="S98" s="18">
        <v>0.53003012977340802</v>
      </c>
      <c r="T98" s="18">
        <v>8.9790202219135695E-2</v>
      </c>
      <c r="U98" s="18">
        <v>0.27569858486150101</v>
      </c>
      <c r="V98" s="18">
        <v>0.32035879479351798</v>
      </c>
      <c r="W98" s="18">
        <v>-0.295092451784295</v>
      </c>
      <c r="X98" s="18">
        <v>0.74797875579008399</v>
      </c>
      <c r="Y98" s="18">
        <v>0.42195074982691799</v>
      </c>
      <c r="Z98" s="18">
        <v>0.28155293332757497</v>
      </c>
      <c r="AA98" s="18">
        <v>0.20684011551258899</v>
      </c>
      <c r="AB98" s="18">
        <v>9.9446808743830495E-4</v>
      </c>
      <c r="AC98" s="18">
        <v>-6.1603940796287698E-2</v>
      </c>
      <c r="AD98" s="18">
        <v>-4.1938157207215498E-2</v>
      </c>
      <c r="AE98" s="18">
        <v>0.688612823157017</v>
      </c>
      <c r="AF98" s="18">
        <v>0.49601697663239902</v>
      </c>
      <c r="AG98" s="18">
        <v>0.32977559160502901</v>
      </c>
      <c r="AH98" s="18">
        <v>0.125138349672684</v>
      </c>
      <c r="AI98" s="18">
        <v>0.69395804834664099</v>
      </c>
      <c r="AJ98" s="18">
        <v>0.13188958491788699</v>
      </c>
      <c r="AK98" s="18">
        <v>-0.10961116641112301</v>
      </c>
      <c r="AL98" s="18">
        <v>0.33789926101433698</v>
      </c>
      <c r="AM98" s="19">
        <v>1.1204277501229799E-2</v>
      </c>
    </row>
    <row r="99" spans="1:39" ht="15" thickBot="1" x14ac:dyDescent="0.35">
      <c r="A99" s="25" t="s">
        <v>98</v>
      </c>
      <c r="B99" s="30" cm="1">
        <f t="array" ref="B99">GEOMEAN(1+K99:AM99)-1</f>
        <v>0.27071166935078472</v>
      </c>
      <c r="C99" s="81" cm="1">
        <f t="array" ref="C99">GEOMEAN(1+M99:AM99)-1</f>
        <v>0.26690497092649501</v>
      </c>
      <c r="D99" s="81" cm="1">
        <f t="array" ref="D99">GEOMEAN(1+O99:AM99)-1</f>
        <v>0.25657155004855658</v>
      </c>
      <c r="E99" s="81" cm="1">
        <f t="array" ref="E99">GEOMEAN(1+Y99:AM99)-1</f>
        <v>0.18838377754472968</v>
      </c>
      <c r="F99" s="13" cm="1">
        <f t="array" ref="F99">GEOMEAN(1+AI99:AM99)-1</f>
        <v>0.20379090622445184</v>
      </c>
      <c r="G99" s="48">
        <v>0.18575050438157423</v>
      </c>
      <c r="H99" s="48">
        <v>0.18688535844503618</v>
      </c>
      <c r="I99" s="48">
        <f t="shared" si="3"/>
        <v>0.7116732952357121</v>
      </c>
      <c r="J99" s="48">
        <f t="shared" si="4"/>
        <v>0.68698252334411725</v>
      </c>
      <c r="K99" s="20">
        <v>0.60109937283322801</v>
      </c>
      <c r="L99" s="21">
        <v>9.3594092889939307E-2</v>
      </c>
      <c r="M99" s="21">
        <v>4.5195413276954498E-2</v>
      </c>
      <c r="N99" s="21">
        <v>0.88456457466784499</v>
      </c>
      <c r="O99" s="21">
        <v>0.27136400379129899</v>
      </c>
      <c r="P99" s="21">
        <v>0.26499434307374198</v>
      </c>
      <c r="Q99" s="21">
        <v>0.389283329115447</v>
      </c>
      <c r="R99" s="21">
        <v>1.1518727482978199</v>
      </c>
      <c r="S99" s="21">
        <v>0.47072602186594797</v>
      </c>
      <c r="T99" s="21">
        <v>0.25652555613424699</v>
      </c>
      <c r="U99" s="21">
        <v>0.41279372240471202</v>
      </c>
      <c r="V99" s="21">
        <v>0.32935326918803098</v>
      </c>
      <c r="W99" s="21">
        <v>-0.28285248233596499</v>
      </c>
      <c r="X99" s="21">
        <v>0.89379591465541297</v>
      </c>
      <c r="Y99" s="21">
        <v>0.348892946880142</v>
      </c>
      <c r="Z99" s="21">
        <v>0.196502593614895</v>
      </c>
      <c r="AA99" s="21">
        <v>0.23856985059789801</v>
      </c>
      <c r="AB99" s="21">
        <v>-5.9337397199819E-3</v>
      </c>
      <c r="AC99" s="21">
        <v>-9.3774719283264904E-2</v>
      </c>
      <c r="AD99" s="21">
        <v>-2.56843498722641E-2</v>
      </c>
      <c r="AE99" s="21">
        <v>0.56712947753825305</v>
      </c>
      <c r="AF99" s="21">
        <v>0.45403425135019698</v>
      </c>
      <c r="AG99" s="21">
        <v>0.31508703684599099</v>
      </c>
      <c r="AH99" s="21">
        <v>1.8405309742948199E-3</v>
      </c>
      <c r="AI99" s="21">
        <v>0.80647939441032102</v>
      </c>
      <c r="AJ99" s="21">
        <v>0.15828655924816401</v>
      </c>
      <c r="AK99" s="21">
        <v>-9.1691156967105794E-2</v>
      </c>
      <c r="AL99" s="21">
        <v>0.371754683981255</v>
      </c>
      <c r="AM99" s="22">
        <v>-3.0391826225975801E-2</v>
      </c>
    </row>
    <row r="100" spans="1:39" x14ac:dyDescent="0.3">
      <c r="A100" s="35" t="s">
        <v>99</v>
      </c>
      <c r="B100" s="39" cm="1">
        <f t="array" ref="B100">GEOMEAN(1+K100:AM100)-1</f>
        <v>0.2778961639879256</v>
      </c>
      <c r="C100" s="86" cm="1">
        <f t="array" ref="C100">GEOMEAN(1+M100:AM100)-1</f>
        <v>0.27150874583128637</v>
      </c>
      <c r="D100" s="86" cm="1">
        <f t="array" ref="D100">GEOMEAN(1+O100:AM100)-1</f>
        <v>0.25470656202806019</v>
      </c>
      <c r="E100" s="86" cm="1">
        <f t="array" ref="E100">GEOMEAN(1+Y100:AM100)-1</f>
        <v>0.20513547649664154</v>
      </c>
      <c r="F100" s="86" cm="1">
        <f t="array" ref="F100">GEOMEAN(1+AI100:AM100)-1</f>
        <v>0.19358386085506485</v>
      </c>
      <c r="G100" s="102">
        <v>0.19352408617523331</v>
      </c>
      <c r="H100" s="102">
        <v>0.19350409276026773</v>
      </c>
      <c r="I100" s="103">
        <f t="shared" si="3"/>
        <v>0.72021096152272457</v>
      </c>
      <c r="J100" s="103">
        <f t="shared" si="4"/>
        <v>0.68727616107941669</v>
      </c>
      <c r="K100" s="40">
        <v>0.58523900770136905</v>
      </c>
      <c r="L100" s="41">
        <v>0.17938114499646601</v>
      </c>
      <c r="M100" s="41">
        <v>0.13583680219556801</v>
      </c>
      <c r="N100" s="41">
        <v>0.984962596002666</v>
      </c>
      <c r="O100" s="41">
        <v>0.22896092259427001</v>
      </c>
      <c r="P100" s="41">
        <v>0.19681871404624299</v>
      </c>
      <c r="Q100" s="41">
        <v>0.47715586387706299</v>
      </c>
      <c r="R100" s="41">
        <v>1.39474233145811</v>
      </c>
      <c r="S100" s="41">
        <v>0.60956942787846802</v>
      </c>
      <c r="T100" s="41">
        <v>-5.7833992586880899E-3</v>
      </c>
      <c r="U100" s="41">
        <v>0.29550025067567098</v>
      </c>
      <c r="V100" s="41">
        <v>0.34094165671244198</v>
      </c>
      <c r="W100" s="41">
        <v>-0.29707477844356101</v>
      </c>
      <c r="X100" s="41">
        <v>0.74107455804632805</v>
      </c>
      <c r="Y100" s="41">
        <v>0.41492224697257202</v>
      </c>
      <c r="Z100" s="41">
        <v>0.22292199131047999</v>
      </c>
      <c r="AA100" s="41">
        <v>0.27468591020410799</v>
      </c>
      <c r="AB100" s="41">
        <v>3.85967187371739E-3</v>
      </c>
      <c r="AC100" s="41">
        <v>-7.3329988073124006E-2</v>
      </c>
      <c r="AD100" s="41">
        <v>-2.6631462194879298E-2</v>
      </c>
      <c r="AE100" s="41">
        <v>0.66004040914281203</v>
      </c>
      <c r="AF100" s="41">
        <v>0.49494858720129797</v>
      </c>
      <c r="AG100" s="41">
        <v>0.31386259043272002</v>
      </c>
      <c r="AH100" s="41">
        <v>4.1282524774256799E-2</v>
      </c>
      <c r="AI100" s="41">
        <v>0.79028204182099504</v>
      </c>
      <c r="AJ100" s="41">
        <v>0.16410581993777201</v>
      </c>
      <c r="AK100" s="41">
        <v>-0.14716510775543201</v>
      </c>
      <c r="AL100" s="41">
        <v>0.35432208139674198</v>
      </c>
      <c r="AM100" s="42">
        <v>6.3843009979893698E-3</v>
      </c>
    </row>
    <row r="101" spans="1:39" x14ac:dyDescent="0.3">
      <c r="A101" s="24" t="s">
        <v>100</v>
      </c>
      <c r="B101" s="29" cm="1">
        <f t="array" ref="B101">GEOMEAN(1+K101:AM101)-1</f>
        <v>0.21608508169629825</v>
      </c>
      <c r="C101" s="80" cm="1">
        <f t="array" ref="C101">GEOMEAN(1+M101:AM101)-1</f>
        <v>0.217542468530316</v>
      </c>
      <c r="D101" s="80" cm="1">
        <f t="array" ref="D101">GEOMEAN(1+O101:AM101)-1</f>
        <v>0.20897857914116647</v>
      </c>
      <c r="E101" s="80" cm="1">
        <f t="array" ref="E101">GEOMEAN(1+Y101:AM101)-1</f>
        <v>9.7687728139531194E-2</v>
      </c>
      <c r="F101" s="80" cm="1">
        <f t="array" ref="F101">GEOMEAN(1+AI101:AM101)-1</f>
        <v>0.18548219679965161</v>
      </c>
      <c r="G101" s="46">
        <v>0.19762277149084556</v>
      </c>
      <c r="H101" s="46">
        <v>0.19762341095810834</v>
      </c>
      <c r="I101" s="46">
        <f t="shared" si="3"/>
        <v>0.39250074930781526</v>
      </c>
      <c r="J101" s="46">
        <f t="shared" si="4"/>
        <v>0.39987404498960483</v>
      </c>
      <c r="K101" s="17">
        <v>0.39565714499600402</v>
      </c>
      <c r="L101" s="18">
        <v>2.5899737390657099E-2</v>
      </c>
      <c r="M101" s="18">
        <v>-3.81340797246821E-2</v>
      </c>
      <c r="N101" s="18">
        <v>0.83861802321191203</v>
      </c>
      <c r="O101" s="18">
        <v>0.25028715292202802</v>
      </c>
      <c r="P101" s="18">
        <v>0.30013999651207701</v>
      </c>
      <c r="Q101" s="18">
        <v>0.518299202091418</v>
      </c>
      <c r="R101" s="18">
        <v>0.95072251741012304</v>
      </c>
      <c r="S101" s="18">
        <v>0.26601241529578301</v>
      </c>
      <c r="T101" s="18">
        <v>0.44343546658928101</v>
      </c>
      <c r="U101" s="18">
        <v>0.54492646172765802</v>
      </c>
      <c r="V101" s="18">
        <v>0.25044096323357801</v>
      </c>
      <c r="W101" s="18">
        <v>-0.21695514995478199</v>
      </c>
      <c r="X101" s="18">
        <v>1.13371932125371</v>
      </c>
      <c r="Y101" s="18">
        <v>0.15905323704424801</v>
      </c>
      <c r="Z101" s="18">
        <v>0.18217674871397699</v>
      </c>
      <c r="AA101" s="18">
        <v>5.7294699547969098E-2</v>
      </c>
      <c r="AB101" s="18">
        <v>-0.19252538525363599</v>
      </c>
      <c r="AC101" s="18">
        <v>9.2790298201908001E-3</v>
      </c>
      <c r="AD101" s="18">
        <v>-0.14013819579127099</v>
      </c>
      <c r="AE101" s="18">
        <v>0.28655821005794002</v>
      </c>
      <c r="AF101" s="18">
        <v>0.258251451593762</v>
      </c>
      <c r="AG101" s="18">
        <v>0.110100121571002</v>
      </c>
      <c r="AH101" s="18">
        <v>-5.2460586241286002E-2</v>
      </c>
      <c r="AI101" s="18">
        <v>0.78444971643735495</v>
      </c>
      <c r="AJ101" s="18">
        <v>8.7314278122924097E-2</v>
      </c>
      <c r="AK101" s="18">
        <v>-0.10675469548407999</v>
      </c>
      <c r="AL101" s="18">
        <v>0.41441003429518602</v>
      </c>
      <c r="AM101" s="19">
        <v>-4.48541236336591E-2</v>
      </c>
    </row>
    <row r="102" spans="1:39" x14ac:dyDescent="0.3">
      <c r="A102" s="24" t="s">
        <v>101</v>
      </c>
      <c r="B102" s="29" cm="1">
        <f t="array" ref="B102">GEOMEAN(1+K102:AM102)-1</f>
        <v>0.18568152463542265</v>
      </c>
      <c r="C102" s="80" cm="1">
        <f t="array" ref="C102">GEOMEAN(1+M102:AM102)-1</f>
        <v>0.17719751705014386</v>
      </c>
      <c r="D102" s="80" cm="1">
        <f t="array" ref="D102">GEOMEAN(1+O102:AM102)-1</f>
        <v>0.18970134282959994</v>
      </c>
      <c r="E102" s="80" cm="1">
        <f t="array" ref="E102">GEOMEAN(1+Y102:AM102)-1</f>
        <v>7.8855392745718067E-2</v>
      </c>
      <c r="F102" s="80" cm="1">
        <f t="array" ref="F102">GEOMEAN(1+AI102:AM102)-1</f>
        <v>0.11913462278501141</v>
      </c>
      <c r="G102" s="46">
        <v>0.20510332555970265</v>
      </c>
      <c r="H102" s="46">
        <v>0.20403613822550046</v>
      </c>
      <c r="I102" s="46">
        <f t="shared" si="3"/>
        <v>0.22995009320723955</v>
      </c>
      <c r="J102" s="46">
        <f t="shared" si="4"/>
        <v>0.18957191397898879</v>
      </c>
      <c r="K102" s="17">
        <v>0.77249818682401905</v>
      </c>
      <c r="L102" s="18">
        <v>-3.71566859996652E-2</v>
      </c>
      <c r="M102" s="18">
        <v>-0.41864137155998898</v>
      </c>
      <c r="N102" s="18">
        <v>0.83037128146926198</v>
      </c>
      <c r="O102" s="18">
        <v>9.5426314087531799E-2</v>
      </c>
      <c r="P102" s="18">
        <v>0.18082404200614499</v>
      </c>
      <c r="Q102" s="18">
        <v>0.13367254102988799</v>
      </c>
      <c r="R102" s="18">
        <v>0.99581195855264804</v>
      </c>
      <c r="S102" s="18">
        <v>0.60129495210188599</v>
      </c>
      <c r="T102" s="18">
        <v>0.47686092574177902</v>
      </c>
      <c r="U102" s="18">
        <v>0.534807984783912</v>
      </c>
      <c r="V102" s="18">
        <v>0.29736508206442103</v>
      </c>
      <c r="W102" s="18">
        <v>-0.20148382778057999</v>
      </c>
      <c r="X102" s="18">
        <v>1.23827648807466</v>
      </c>
      <c r="Y102" s="18">
        <v>0.19360866498951201</v>
      </c>
      <c r="Z102" s="18">
        <v>-3.8200497604393903E-2</v>
      </c>
      <c r="AA102" s="18">
        <v>7.5078759622243293E-2</v>
      </c>
      <c r="AB102" s="18">
        <v>-7.0952845955363594E-2</v>
      </c>
      <c r="AC102" s="18">
        <v>-0.174898748328152</v>
      </c>
      <c r="AD102" s="18">
        <v>-5.0113974102945998E-2</v>
      </c>
      <c r="AE102" s="18">
        <v>0.48864667878818602</v>
      </c>
      <c r="AF102" s="18">
        <v>0.31264697767070099</v>
      </c>
      <c r="AG102" s="18">
        <v>5.3106401684355702E-2</v>
      </c>
      <c r="AH102" s="18">
        <v>-3.8339518026411397E-2</v>
      </c>
      <c r="AI102" s="18">
        <v>0.58759277080669703</v>
      </c>
      <c r="AJ102" s="18">
        <v>-8.1646583116614692E-3</v>
      </c>
      <c r="AK102" s="18">
        <v>-0.12304189929892401</v>
      </c>
      <c r="AL102" s="18">
        <v>0.43722206206464398</v>
      </c>
      <c r="AM102" s="19">
        <v>-0.115433989602186</v>
      </c>
    </row>
    <row r="103" spans="1:39" x14ac:dyDescent="0.3">
      <c r="A103" s="24" t="s">
        <v>102</v>
      </c>
      <c r="B103" s="29" cm="1">
        <f t="array" ref="B103">GEOMEAN(1+K103:AM103)-1</f>
        <v>0.14926152221778044</v>
      </c>
      <c r="C103" s="80" cm="1">
        <f t="array" ref="C103">GEOMEAN(1+M103:AM103)-1</f>
        <v>0.1501181059431187</v>
      </c>
      <c r="D103" s="80" cm="1">
        <f t="array" ref="D103">GEOMEAN(1+O103:AM103)-1</f>
        <v>0.13366473445143545</v>
      </c>
      <c r="E103" s="80" cm="1">
        <f t="array" ref="E103">GEOMEAN(1+Y103:AM103)-1</f>
        <v>5.8933889700283126E-2</v>
      </c>
      <c r="F103" s="80" cm="1">
        <f t="array" ref="F103">GEOMEAN(1+AI103:AM103)-1</f>
        <v>9.1138876876479147E-2</v>
      </c>
      <c r="G103" s="46">
        <v>0.22635560538096713</v>
      </c>
      <c r="H103" s="46">
        <v>0.2263039338879225</v>
      </c>
      <c r="I103" s="46">
        <f t="shared" si="3"/>
        <v>4.7463045564276433E-2</v>
      </c>
      <c r="J103" s="46">
        <f t="shared" si="4"/>
        <v>5.1258985815993169E-2</v>
      </c>
      <c r="K103" s="17">
        <v>0.57472643466290596</v>
      </c>
      <c r="L103" s="18">
        <v>-0.17795400043200699</v>
      </c>
      <c r="M103" s="18">
        <v>-0.33067663308418399</v>
      </c>
      <c r="N103" s="18">
        <v>1.83330925592072</v>
      </c>
      <c r="O103" s="18">
        <v>0.26762245751774</v>
      </c>
      <c r="P103" s="18">
        <v>-4.5040920837575202E-2</v>
      </c>
      <c r="Q103" s="18">
        <v>-0.10110094424251299</v>
      </c>
      <c r="R103" s="18">
        <v>1.3188479406032301</v>
      </c>
      <c r="S103" s="18">
        <v>0.290435303995212</v>
      </c>
      <c r="T103" s="18">
        <v>0.62721296717614194</v>
      </c>
      <c r="U103" s="18">
        <v>0.37633576565611898</v>
      </c>
      <c r="V103" s="18">
        <v>5.8743145773795899E-2</v>
      </c>
      <c r="W103" s="18">
        <v>-0.486502291651427</v>
      </c>
      <c r="X103" s="18">
        <v>1.4597512001917701</v>
      </c>
      <c r="Y103" s="18">
        <v>6.0772820278350799E-2</v>
      </c>
      <c r="Z103" s="18">
        <v>-2.3967002628260198E-2</v>
      </c>
      <c r="AA103" s="18">
        <v>0.21347352511666001</v>
      </c>
      <c r="AB103" s="18">
        <v>-6.4519224299923003E-2</v>
      </c>
      <c r="AC103" s="18">
        <v>-0.108606219928383</v>
      </c>
      <c r="AD103" s="18">
        <v>-6.06877881427084E-2</v>
      </c>
      <c r="AE103" s="18">
        <v>0.13387797625676401</v>
      </c>
      <c r="AF103" s="18">
        <v>0.354022375750698</v>
      </c>
      <c r="AG103" s="18">
        <v>0.16002253069200301</v>
      </c>
      <c r="AH103" s="18">
        <v>-0.129152010345676</v>
      </c>
      <c r="AI103" s="18">
        <v>0.892946534489788</v>
      </c>
      <c r="AJ103" s="18">
        <v>-8.79193710164827E-2</v>
      </c>
      <c r="AK103" s="18">
        <v>-0.27059532900085498</v>
      </c>
      <c r="AL103" s="18">
        <v>0.29833203136669301</v>
      </c>
      <c r="AM103" s="19">
        <v>-5.4036766190154198E-2</v>
      </c>
    </row>
    <row r="104" spans="1:39" ht="15" thickBot="1" x14ac:dyDescent="0.35">
      <c r="A104" s="25" t="s">
        <v>103</v>
      </c>
      <c r="B104" s="30" cm="1">
        <f t="array" ref="B104">GEOMEAN(1+K104:AM104)-1</f>
        <v>0.10726877862902495</v>
      </c>
      <c r="C104" s="81" cm="1">
        <f t="array" ref="C104">GEOMEAN(1+M104:AM104)-1</f>
        <v>0.11878312593123819</v>
      </c>
      <c r="D104" s="81" cm="1">
        <f t="array" ref="D104">GEOMEAN(1+O104:AM104)-1</f>
        <v>7.1777977210722099E-2</v>
      </c>
      <c r="E104" s="81" cm="1">
        <f t="array" ref="E104">GEOMEAN(1+Y104:AM104)-1</f>
        <v>4.3852082536470771E-3</v>
      </c>
      <c r="F104" s="81" cm="1">
        <f t="array" ref="F104">GEOMEAN(1+AI104:AM104)-1</f>
        <v>3.1011869133421577E-2</v>
      </c>
      <c r="G104" s="48">
        <v>0.30060262857959535</v>
      </c>
      <c r="H104" s="48">
        <v>0.30724023289543684</v>
      </c>
      <c r="I104" s="48">
        <f t="shared" si="3"/>
        <v>-0.10395523593551982</v>
      </c>
      <c r="J104" s="48">
        <f t="shared" si="4"/>
        <v>-6.4232700543917401E-2</v>
      </c>
      <c r="K104" s="20">
        <v>5.0114633109179303E-2</v>
      </c>
      <c r="L104" s="21">
        <v>-0.11699662217750301</v>
      </c>
      <c r="M104" s="21">
        <v>1.1460810829186201</v>
      </c>
      <c r="N104" s="21">
        <v>0.70558218837559195</v>
      </c>
      <c r="O104" s="21">
        <v>0.17766157259946</v>
      </c>
      <c r="P104" s="21">
        <v>-0.185156881136812</v>
      </c>
      <c r="Q104" s="21">
        <v>-0.141718948606815</v>
      </c>
      <c r="R104" s="21">
        <v>0.85846023624735102</v>
      </c>
      <c r="S104" s="21">
        <v>0.37070958991306002</v>
      </c>
      <c r="T104" s="21">
        <v>0.60148767239926304</v>
      </c>
      <c r="U104" s="21">
        <v>0.27316731024442797</v>
      </c>
      <c r="V104" s="21">
        <v>-9.5749201202726102E-3</v>
      </c>
      <c r="W104" s="21">
        <v>-0.48546898635403901</v>
      </c>
      <c r="X104" s="21">
        <v>1.4302507191278799</v>
      </c>
      <c r="Y104" s="21">
        <v>2.3481493400504799E-2</v>
      </c>
      <c r="Z104" s="21">
        <v>-0.108636120459657</v>
      </c>
      <c r="AA104" s="21">
        <v>-4.4736805831091498E-4</v>
      </c>
      <c r="AB104" s="21">
        <v>-0.116367468867105</v>
      </c>
      <c r="AC104" s="21">
        <v>-0.28516301135810701</v>
      </c>
      <c r="AD104" s="21">
        <v>-0.14863485345786201</v>
      </c>
      <c r="AE104" s="21">
        <v>0.36534761777301999</v>
      </c>
      <c r="AF104" s="21">
        <v>0.14141587614409101</v>
      </c>
      <c r="AG104" s="21">
        <v>0.181055067017727</v>
      </c>
      <c r="AH104" s="21">
        <v>1.55322795277797E-2</v>
      </c>
      <c r="AI104" s="21">
        <v>0.83345670445801801</v>
      </c>
      <c r="AJ104" s="21">
        <v>-0.16945715074777101</v>
      </c>
      <c r="AK104" s="21">
        <v>-0.43494798200186002</v>
      </c>
      <c r="AL104" s="21">
        <v>0.39222141612891398</v>
      </c>
      <c r="AM104" s="22">
        <v>-2.75016299717179E-2</v>
      </c>
    </row>
    <row r="105" spans="1:39" x14ac:dyDescent="0.3">
      <c r="A105" s="23" t="s">
        <v>104</v>
      </c>
      <c r="B105" s="26" cm="1">
        <f t="array" ref="B105">GEOMEAN(1+K105:AM105)-1</f>
        <v>0.30512785976862378</v>
      </c>
      <c r="C105" s="12" cm="1">
        <f t="array" ref="C105">GEOMEAN(1+M105:AM105)-1</f>
        <v>0.29712703348577052</v>
      </c>
      <c r="D105" s="12" cm="1">
        <f t="array" ref="D105">GEOMEAN(1+O105:AM105)-1</f>
        <v>0.2764837013673882</v>
      </c>
      <c r="E105" s="12" cm="1">
        <f t="array" ref="E105">GEOMEAN(1+Y105:AM105)-1</f>
        <v>0.22687161138787193</v>
      </c>
      <c r="F105" s="75" cm="1">
        <f t="array" ref="F105">GEOMEAN(1+AI105:AM105)-1</f>
        <v>0.18590331121708203</v>
      </c>
      <c r="G105" s="45">
        <v>0.26947603645181478</v>
      </c>
      <c r="H105" s="45">
        <v>0.26915270911449846</v>
      </c>
      <c r="I105" s="45">
        <f t="shared" si="3"/>
        <v>0.6182733951282573</v>
      </c>
      <c r="J105" s="45">
        <f t="shared" si="4"/>
        <v>0.58929014016516357</v>
      </c>
      <c r="K105" s="14">
        <v>0.83860854956492004</v>
      </c>
      <c r="L105" s="15">
        <v>9.3759127738589604E-2</v>
      </c>
      <c r="M105" s="15">
        <v>0.16602586673313599</v>
      </c>
      <c r="N105" s="15">
        <v>1.15495275134279</v>
      </c>
      <c r="O105" s="15">
        <v>0.23352126611985899</v>
      </c>
      <c r="P105" s="15">
        <v>0.42168659131770297</v>
      </c>
      <c r="Q105" s="15">
        <v>0.40758214188210601</v>
      </c>
      <c r="R105" s="15">
        <v>0.66105151938703399</v>
      </c>
      <c r="S105" s="15">
        <v>0.50169828805604799</v>
      </c>
      <c r="T105" s="15">
        <v>0.20640594757757799</v>
      </c>
      <c r="U105" s="15">
        <v>0.275385173981336</v>
      </c>
      <c r="V105" s="15">
        <v>0.83559109296665102</v>
      </c>
      <c r="W105" s="15">
        <v>-0.28415032935714801</v>
      </c>
      <c r="X105" s="15">
        <v>0.67213923348770699</v>
      </c>
      <c r="Y105" s="15">
        <v>0.61204541788609501</v>
      </c>
      <c r="Z105" s="15">
        <v>0.25628688218804202</v>
      </c>
      <c r="AA105" s="15">
        <v>0.236384526348145</v>
      </c>
      <c r="AB105" s="15">
        <v>-6.7057566569520305E-2</v>
      </c>
      <c r="AC105" s="15">
        <v>-0.15894368988306801</v>
      </c>
      <c r="AD105" s="15">
        <v>-5.71229523575979E-2</v>
      </c>
      <c r="AE105" s="15">
        <v>0.98872530876914499</v>
      </c>
      <c r="AF105" s="15">
        <v>0.37951840717368701</v>
      </c>
      <c r="AG105" s="15">
        <v>0.32516785757753902</v>
      </c>
      <c r="AH105" s="15">
        <v>0.35960425637693999</v>
      </c>
      <c r="AI105" s="15">
        <v>1.3066190894097001</v>
      </c>
      <c r="AJ105" s="15">
        <v>-4.5429554882380499E-2</v>
      </c>
      <c r="AK105" s="15">
        <v>-0.159378502463254</v>
      </c>
      <c r="AL105" s="15">
        <v>0.19885694391241099</v>
      </c>
      <c r="AM105" s="16">
        <v>5.7047947692624897E-2</v>
      </c>
    </row>
    <row r="106" spans="1:39" x14ac:dyDescent="0.3">
      <c r="A106" s="24" t="s">
        <v>105</v>
      </c>
      <c r="B106" s="29" cm="1">
        <f t="array" ref="B106">GEOMEAN(1+K106:AM106)-1</f>
        <v>0.27455686319425543</v>
      </c>
      <c r="C106" s="80" cm="1">
        <f t="array" ref="C106">GEOMEAN(1+M106:AM106)-1</f>
        <v>0.25967533484387206</v>
      </c>
      <c r="D106" s="80" cm="1">
        <f t="array" ref="D106">GEOMEAN(1+O106:AM106)-1</f>
        <v>0.24799007266290962</v>
      </c>
      <c r="E106" s="80" cm="1">
        <f t="array" ref="E106">GEOMEAN(1+Y106:AM106)-1</f>
        <v>0.19209873226982732</v>
      </c>
      <c r="F106" s="80" cm="1">
        <f t="array" ref="F106">GEOMEAN(1+AI106:AM106)-1</f>
        <v>0.17835827717263886</v>
      </c>
      <c r="G106" s="46">
        <v>0.21652773909011527</v>
      </c>
      <c r="H106" s="46">
        <v>0.21850605603507875</v>
      </c>
      <c r="I106" s="46">
        <f t="shared" si="3"/>
        <v>0.62827454791731818</v>
      </c>
      <c r="J106" s="46">
        <f t="shared" si="4"/>
        <v>0.55448046263105566</v>
      </c>
      <c r="K106" s="17">
        <v>0.74811748132343803</v>
      </c>
      <c r="L106" s="18">
        <v>0.27603842057001299</v>
      </c>
      <c r="M106" s="18">
        <v>0.117682336165034</v>
      </c>
      <c r="N106" s="18">
        <v>0.792199035914121</v>
      </c>
      <c r="O106" s="18">
        <v>0.112274615877151</v>
      </c>
      <c r="P106" s="18">
        <v>0.13597195158786801</v>
      </c>
      <c r="Q106" s="18">
        <v>0.58726736567237803</v>
      </c>
      <c r="R106" s="18">
        <v>0.96867815882724995</v>
      </c>
      <c r="S106" s="18">
        <v>0.61517615538714998</v>
      </c>
      <c r="T106" s="18">
        <v>0.15774740150872699</v>
      </c>
      <c r="U106" s="18">
        <v>0.40116652362774002</v>
      </c>
      <c r="V106" s="18">
        <v>0.46903202983692499</v>
      </c>
      <c r="W106" s="18">
        <v>-0.30765380268032599</v>
      </c>
      <c r="X106" s="18">
        <v>0.73185844831740798</v>
      </c>
      <c r="Y106" s="18">
        <v>0.50005639078799202</v>
      </c>
      <c r="Z106" s="18">
        <v>0.183587968278415</v>
      </c>
      <c r="AA106" s="18">
        <v>0.19791493814972</v>
      </c>
      <c r="AB106" s="18">
        <v>-0.134844394742445</v>
      </c>
      <c r="AC106" s="18">
        <v>-6.7781945454815596E-3</v>
      </c>
      <c r="AD106" s="18">
        <v>-8.6473972336537294E-2</v>
      </c>
      <c r="AE106" s="18">
        <v>0.66951394132612696</v>
      </c>
      <c r="AF106" s="18">
        <v>0.24790519735167599</v>
      </c>
      <c r="AG106" s="18">
        <v>0.49180496302408</v>
      </c>
      <c r="AH106" s="18">
        <v>0.183633945811293</v>
      </c>
      <c r="AI106" s="18">
        <v>0.88451725895794997</v>
      </c>
      <c r="AJ106" s="18">
        <v>1.0712698651622599E-2</v>
      </c>
      <c r="AK106" s="18">
        <v>-0.105637953168007</v>
      </c>
      <c r="AL106" s="18">
        <v>0.41342464712916699</v>
      </c>
      <c r="AM106" s="19">
        <v>-5.6432614436013002E-2</v>
      </c>
    </row>
    <row r="107" spans="1:39" x14ac:dyDescent="0.3">
      <c r="A107" s="24" t="s">
        <v>106</v>
      </c>
      <c r="B107" s="29" cm="1">
        <f t="array" ref="B107">GEOMEAN(1+K107:AM107)-1</f>
        <v>0.27071914702437461</v>
      </c>
      <c r="C107" s="80" cm="1">
        <f t="array" ref="C107">GEOMEAN(1+M107:AM107)-1</f>
        <v>0.2532228898585438</v>
      </c>
      <c r="D107" s="80" cm="1">
        <f t="array" ref="D107">GEOMEAN(1+O107:AM107)-1</f>
        <v>0.23236005229611401</v>
      </c>
      <c r="E107" s="80" cm="1">
        <f t="array" ref="E107">GEOMEAN(1+Y107:AM107)-1</f>
        <v>0.1784618182903206</v>
      </c>
      <c r="F107" s="80" cm="1">
        <f t="array" ref="F107">GEOMEAN(1+AI107:AM107)-1</f>
        <v>0.14436269901365728</v>
      </c>
      <c r="G107" s="46">
        <v>0.20871449242160306</v>
      </c>
      <c r="H107" s="46">
        <v>0.21083533378902769</v>
      </c>
      <c r="I107" s="46">
        <f t="shared" si="3"/>
        <v>0.63340666805002788</v>
      </c>
      <c r="J107" s="46">
        <f t="shared" si="4"/>
        <v>0.54404967133008642</v>
      </c>
      <c r="K107" s="17">
        <v>0.82337575024856002</v>
      </c>
      <c r="L107" s="18">
        <v>0.28764713426222299</v>
      </c>
      <c r="M107" s="18">
        <v>0.217094823848587</v>
      </c>
      <c r="N107" s="18">
        <v>0.963359768113211</v>
      </c>
      <c r="O107" s="18">
        <v>0.174966457387081</v>
      </c>
      <c r="P107" s="18">
        <v>0.122327535785255</v>
      </c>
      <c r="Q107" s="18">
        <v>0.47865761286063602</v>
      </c>
      <c r="R107" s="18">
        <v>0.83249053228357095</v>
      </c>
      <c r="S107" s="18">
        <v>0.64494473382399897</v>
      </c>
      <c r="T107" s="18">
        <v>0.229835899833015</v>
      </c>
      <c r="U107" s="18">
        <v>0.34457404617277598</v>
      </c>
      <c r="V107" s="18">
        <v>0.36341547139236102</v>
      </c>
      <c r="W107" s="18">
        <v>-0.29857223046228998</v>
      </c>
      <c r="X107" s="18">
        <v>0.700038403383902</v>
      </c>
      <c r="Y107" s="18">
        <v>0.49504631676746302</v>
      </c>
      <c r="Z107" s="18">
        <v>0.15681121347319499</v>
      </c>
      <c r="AA107" s="18">
        <v>0.160727673375539</v>
      </c>
      <c r="AB107" s="18">
        <v>-1.8620919294429401E-2</v>
      </c>
      <c r="AC107" s="18">
        <v>-1.51835083872442E-2</v>
      </c>
      <c r="AD107" s="18">
        <v>-3.0017885318584799E-2</v>
      </c>
      <c r="AE107" s="18">
        <v>0.62853056943157903</v>
      </c>
      <c r="AF107" s="18">
        <v>0.233381581435818</v>
      </c>
      <c r="AG107" s="18">
        <v>0.34843934730745002</v>
      </c>
      <c r="AH107" s="18">
        <v>0.17377856180871601</v>
      </c>
      <c r="AI107" s="18">
        <v>0.62318141385995895</v>
      </c>
      <c r="AJ107" s="18">
        <v>0.110357913623401</v>
      </c>
      <c r="AK107" s="18">
        <v>-0.15380523922474701</v>
      </c>
      <c r="AL107" s="18">
        <v>0.38922071610223302</v>
      </c>
      <c r="AM107" s="19">
        <v>-7.37103094958413E-2</v>
      </c>
    </row>
    <row r="108" spans="1:39" x14ac:dyDescent="0.3">
      <c r="A108" s="24" t="s">
        <v>107</v>
      </c>
      <c r="B108" s="29" cm="1">
        <f t="array" ref="B108">GEOMEAN(1+K108:AM108)-1</f>
        <v>0.26798446226915829</v>
      </c>
      <c r="C108" s="80" cm="1">
        <f t="array" ref="C108">GEOMEAN(1+M108:AM108)-1</f>
        <v>0.25511231023025482</v>
      </c>
      <c r="D108" s="80" cm="1">
        <f t="array" ref="D108">GEOMEAN(1+O108:AM108)-1</f>
        <v>0.23866458375392141</v>
      </c>
      <c r="E108" s="80" cm="1">
        <f t="array" ref="E108">GEOMEAN(1+Y108:AM108)-1</f>
        <v>0.1680573285621032</v>
      </c>
      <c r="F108" s="80" cm="1">
        <f t="array" ref="F108">GEOMEAN(1+AI108:AM108)-1</f>
        <v>0.13511005893475114</v>
      </c>
      <c r="G108" s="46">
        <v>0.19915039998764006</v>
      </c>
      <c r="H108" s="46">
        <v>0.20078700542987044</v>
      </c>
      <c r="I108" s="46">
        <f t="shared" si="3"/>
        <v>0.65009393137718618</v>
      </c>
      <c r="J108" s="46">
        <f t="shared" si="4"/>
        <v>0.58068655476374387</v>
      </c>
      <c r="K108" s="17">
        <v>0.68541156574578399</v>
      </c>
      <c r="L108" s="18">
        <v>0.25651634934494699</v>
      </c>
      <c r="M108" s="18">
        <v>0.13065734348691799</v>
      </c>
      <c r="N108" s="18">
        <v>0.93756326875218499</v>
      </c>
      <c r="O108" s="18">
        <v>0.20088283349883501</v>
      </c>
      <c r="P108" s="18">
        <v>0.23115057760551</v>
      </c>
      <c r="Q108" s="18">
        <v>0.38551055335911</v>
      </c>
      <c r="R108" s="18">
        <v>0.87199546291459795</v>
      </c>
      <c r="S108" s="18">
        <v>0.63557576981305997</v>
      </c>
      <c r="T108" s="18">
        <v>0.33806917908108702</v>
      </c>
      <c r="U108" s="18">
        <v>0.390733236316682</v>
      </c>
      <c r="V108" s="18">
        <v>0.25480472690536199</v>
      </c>
      <c r="W108" s="18">
        <v>-0.281227468198395</v>
      </c>
      <c r="X108" s="18">
        <v>0.94802040530340004</v>
      </c>
      <c r="Y108" s="18">
        <v>0.45979175191551003</v>
      </c>
      <c r="Z108" s="18">
        <v>0.133404658288857</v>
      </c>
      <c r="AA108" s="18">
        <v>0.18384588918553299</v>
      </c>
      <c r="AB108" s="18">
        <v>-2.6251588407173902E-2</v>
      </c>
      <c r="AC108" s="18">
        <v>2.6768661267659598E-2</v>
      </c>
      <c r="AD108" s="18">
        <v>-4.0961009328501802E-2</v>
      </c>
      <c r="AE108" s="18">
        <v>0.578637702313058</v>
      </c>
      <c r="AF108" s="18">
        <v>0.29141232814332702</v>
      </c>
      <c r="AG108" s="18">
        <v>0.28933829028536501</v>
      </c>
      <c r="AH108" s="18">
        <v>0.10492178926515799</v>
      </c>
      <c r="AI108" s="18">
        <v>0.595221148396053</v>
      </c>
      <c r="AJ108" s="18">
        <v>1.6103427482041702E-2</v>
      </c>
      <c r="AK108" s="18">
        <v>-0.116097194595873</v>
      </c>
      <c r="AL108" s="18">
        <v>0.403069359610297</v>
      </c>
      <c r="AM108" s="19">
        <v>-6.2551553984503197E-2</v>
      </c>
    </row>
    <row r="109" spans="1:39" ht="15" thickBot="1" x14ac:dyDescent="0.35">
      <c r="A109" s="25" t="s">
        <v>108</v>
      </c>
      <c r="B109" s="30" cm="1">
        <f t="array" ref="B109">GEOMEAN(1+K109:AM109)-1</f>
        <v>0.2754868815185989</v>
      </c>
      <c r="C109" s="81" cm="1">
        <f t="array" ref="C109">GEOMEAN(1+M109:AM109)-1</f>
        <v>0.26930231351755052</v>
      </c>
      <c r="D109" s="81" cm="1">
        <f t="array" ref="D109">GEOMEAN(1+O109:AM109)-1</f>
        <v>0.24737744435307318</v>
      </c>
      <c r="E109" s="81" cm="1">
        <f t="array" ref="E109">GEOMEAN(1+Y109:AM109)-1</f>
        <v>0.18258406864890908</v>
      </c>
      <c r="F109" s="13" cm="1">
        <f t="array" ref="F109">GEOMEAN(1+AI109:AM109)-1</f>
        <v>0.19283393978389651</v>
      </c>
      <c r="G109" s="48">
        <v>0.19207187456959071</v>
      </c>
      <c r="H109" s="48">
        <v>0.19427441031411913</v>
      </c>
      <c r="I109" s="95">
        <f t="shared" si="3"/>
        <v>0.71311266170372412</v>
      </c>
      <c r="J109" s="95">
        <f t="shared" si="4"/>
        <v>0.67319374435487034</v>
      </c>
      <c r="K109" s="20">
        <v>0.68748967390195204</v>
      </c>
      <c r="L109" s="21">
        <v>9.9273686675527301E-2</v>
      </c>
      <c r="M109" s="21">
        <v>9.4103148279258003E-2</v>
      </c>
      <c r="N109" s="21">
        <v>1.2764153179984099</v>
      </c>
      <c r="O109" s="21">
        <v>0.24380170832283299</v>
      </c>
      <c r="P109" s="21">
        <v>0.24770939049860799</v>
      </c>
      <c r="Q109" s="21">
        <v>0.30385789897621002</v>
      </c>
      <c r="R109" s="21">
        <v>0.86257257234217799</v>
      </c>
      <c r="S109" s="21">
        <v>0.51089095163559295</v>
      </c>
      <c r="T109" s="21">
        <v>0.36942623812903302</v>
      </c>
      <c r="U109" s="21">
        <v>0.48461999743287099</v>
      </c>
      <c r="V109" s="21">
        <v>0.209235676729496</v>
      </c>
      <c r="W109" s="21">
        <v>-0.28033474134661002</v>
      </c>
      <c r="X109" s="21">
        <v>1.0147918570064001</v>
      </c>
      <c r="Y109" s="21">
        <v>0.44769159726525098</v>
      </c>
      <c r="Z109" s="21">
        <v>0.181533829731958</v>
      </c>
      <c r="AA109" s="21">
        <v>0.19185522894572399</v>
      </c>
      <c r="AB109" s="21">
        <v>-1.0080580167071E-2</v>
      </c>
      <c r="AC109" s="21">
        <v>-4.0662064609545698E-3</v>
      </c>
      <c r="AD109" s="21">
        <v>-1.4152085345767101E-2</v>
      </c>
      <c r="AE109" s="21">
        <v>0.495051666983162</v>
      </c>
      <c r="AF109" s="21">
        <v>0.32762187326946002</v>
      </c>
      <c r="AG109" s="21">
        <v>0.26037438533608498</v>
      </c>
      <c r="AH109" s="21">
        <v>3.3628076604881998E-2</v>
      </c>
      <c r="AI109" s="21">
        <v>0.92380503416547299</v>
      </c>
      <c r="AJ109" s="21">
        <v>8.2554963942240003E-2</v>
      </c>
      <c r="AK109" s="21">
        <v>-0.13547753671700499</v>
      </c>
      <c r="AL109" s="21">
        <v>0.41639926028255603</v>
      </c>
      <c r="AM109" s="22">
        <v>-5.3050210094501497E-2</v>
      </c>
    </row>
    <row r="110" spans="1:39" x14ac:dyDescent="0.3">
      <c r="A110" s="35" t="s">
        <v>109</v>
      </c>
      <c r="B110" s="39" cm="1">
        <f t="array" ref="B110">GEOMEAN(1+K110:AM110)-1</f>
        <v>0.27706154505260194</v>
      </c>
      <c r="C110" s="86" cm="1">
        <f t="array" ref="C110">GEOMEAN(1+M110:AM110)-1</f>
        <v>0.26346745605040289</v>
      </c>
      <c r="D110" s="86" cm="1">
        <f t="array" ref="D110">GEOMEAN(1+O110:AM110)-1</f>
        <v>0.24950742917605306</v>
      </c>
      <c r="E110" s="86" cm="1">
        <f t="array" ref="E110">GEOMEAN(1+Y110:AM110)-1</f>
        <v>0.18922616956942262</v>
      </c>
      <c r="F110" s="101" cm="1">
        <f t="array" ref="F110">GEOMEAN(1+AI110:AM110)-1</f>
        <v>0.19788016358112559</v>
      </c>
      <c r="G110" s="102">
        <v>0.19909123977486512</v>
      </c>
      <c r="H110" s="102">
        <v>0.20070960044728473</v>
      </c>
      <c r="I110" s="103">
        <f t="shared" si="3"/>
        <v>0.69587968513036791</v>
      </c>
      <c r="J110" s="103">
        <f t="shared" si="4"/>
        <v>0.62253853311499152</v>
      </c>
      <c r="K110" s="40">
        <v>0.74811748132343803</v>
      </c>
      <c r="L110" s="41">
        <v>0.24549722581691899</v>
      </c>
      <c r="M110" s="41">
        <v>0.17590520933686199</v>
      </c>
      <c r="N110" s="41">
        <v>0.792199035914121</v>
      </c>
      <c r="O110" s="41">
        <v>0.15168194373562699</v>
      </c>
      <c r="P110" s="41">
        <v>0.122327535785255</v>
      </c>
      <c r="Q110" s="41">
        <v>0.58726736567237803</v>
      </c>
      <c r="R110" s="41">
        <v>0.96867815882724995</v>
      </c>
      <c r="S110" s="41">
        <v>0.62769753427294195</v>
      </c>
      <c r="T110" s="41">
        <v>0.229835899833015</v>
      </c>
      <c r="U110" s="41">
        <v>0.34433869913788401</v>
      </c>
      <c r="V110" s="41">
        <v>0.30105216102767701</v>
      </c>
      <c r="W110" s="41">
        <v>-0.30069443923196199</v>
      </c>
      <c r="X110" s="41">
        <v>0.96940916245293896</v>
      </c>
      <c r="Y110" s="41">
        <v>0.44998869760664501</v>
      </c>
      <c r="Z110" s="41">
        <v>0.181533829731958</v>
      </c>
      <c r="AA110" s="41">
        <v>0.18675117264792501</v>
      </c>
      <c r="AB110" s="41">
        <v>-4.5612520348933304E-3</v>
      </c>
      <c r="AC110" s="41">
        <v>8.7092533709154396E-4</v>
      </c>
      <c r="AD110" s="41">
        <v>1.4418666857274299E-4</v>
      </c>
      <c r="AE110" s="41">
        <v>0.57628145624871796</v>
      </c>
      <c r="AF110" s="41">
        <v>0.29141232814332702</v>
      </c>
      <c r="AG110" s="41">
        <v>0.27009020372001602</v>
      </c>
      <c r="AH110" s="41">
        <v>4.1696148193182597E-2</v>
      </c>
      <c r="AI110" s="41">
        <v>0.90172004417547202</v>
      </c>
      <c r="AJ110" s="41">
        <v>8.2554963942240003E-2</v>
      </c>
      <c r="AK110" s="41">
        <v>-0.12605045742043999</v>
      </c>
      <c r="AL110" s="41">
        <v>0.40586380864307697</v>
      </c>
      <c r="AM110" s="42">
        <v>-2.49189506579666E-2</v>
      </c>
    </row>
    <row r="111" spans="1:39" x14ac:dyDescent="0.3">
      <c r="A111" s="24" t="s">
        <v>110</v>
      </c>
      <c r="B111" s="29" cm="1">
        <f t="array" ref="B111">GEOMEAN(1+K111:AM111)-1</f>
        <v>0.22812134110075699</v>
      </c>
      <c r="C111" s="80" cm="1">
        <f t="array" ref="C111">GEOMEAN(1+M111:AM111)-1</f>
        <v>0.22712118672000847</v>
      </c>
      <c r="D111" s="80" cm="1">
        <f t="array" ref="D111">GEOMEAN(1+O111:AM111)-1</f>
        <v>0.21492792182821252</v>
      </c>
      <c r="E111" s="80" cm="1">
        <f t="array" ref="E111">GEOMEAN(1+Y111:AM111)-1</f>
        <v>0.12385337748247904</v>
      </c>
      <c r="F111" s="82" cm="1">
        <f t="array" ref="F111">GEOMEAN(1+AI111:AM111)-1</f>
        <v>0.1993168750544263</v>
      </c>
      <c r="G111" s="46">
        <v>0.20173776768334353</v>
      </c>
      <c r="H111" s="46">
        <v>0.20001538652032524</v>
      </c>
      <c r="I111" s="46">
        <f t="shared" si="3"/>
        <v>0.44415751360720973</v>
      </c>
      <c r="J111" s="46">
        <f t="shared" si="4"/>
        <v>0.44298187482266788</v>
      </c>
      <c r="K111" s="17">
        <v>0.60582603200733898</v>
      </c>
      <c r="L111" s="18">
        <v>-3.98539413689959E-2</v>
      </c>
      <c r="M111" s="18">
        <v>-8.3350688475425802E-2</v>
      </c>
      <c r="N111" s="18">
        <v>1.10860494986049</v>
      </c>
      <c r="O111" s="18">
        <v>0.27972651853998198</v>
      </c>
      <c r="P111" s="18">
        <v>0.34678328907855799</v>
      </c>
      <c r="Q111" s="18">
        <v>0.18875179836463199</v>
      </c>
      <c r="R111" s="18">
        <v>0.77559599413090297</v>
      </c>
      <c r="S111" s="18">
        <v>0.50728264351010299</v>
      </c>
      <c r="T111" s="18">
        <v>0.48972213537442799</v>
      </c>
      <c r="U111" s="18">
        <v>0.62080534392147002</v>
      </c>
      <c r="V111" s="18">
        <v>0.170096114817124</v>
      </c>
      <c r="W111" s="18">
        <v>-0.211816220433581</v>
      </c>
      <c r="X111" s="18">
        <v>0.84666413095395399</v>
      </c>
      <c r="Y111" s="18">
        <v>0.14752143021226999</v>
      </c>
      <c r="Z111" s="18">
        <v>0.15763959565524899</v>
      </c>
      <c r="AA111" s="18">
        <v>0.113188665124344</v>
      </c>
      <c r="AB111" s="18">
        <v>-0.10114806617634201</v>
      </c>
      <c r="AC111" s="18">
        <v>-5.6751480298567601E-2</v>
      </c>
      <c r="AD111" s="18">
        <v>-9.0239679590072397E-2</v>
      </c>
      <c r="AE111" s="18">
        <v>0.29885590018844399</v>
      </c>
      <c r="AF111" s="18">
        <v>0.488208858154624</v>
      </c>
      <c r="AG111" s="18">
        <v>0.17405128677618201</v>
      </c>
      <c r="AH111" s="18">
        <v>-0.102738683152846</v>
      </c>
      <c r="AI111" s="18">
        <v>0.83569105665543097</v>
      </c>
      <c r="AJ111" s="18">
        <v>0.13382608830596801</v>
      </c>
      <c r="AK111" s="18">
        <v>-0.110302999268658</v>
      </c>
      <c r="AL111" s="18">
        <v>0.38159015216511299</v>
      </c>
      <c r="AM111" s="19">
        <v>-3.01550039065843E-2</v>
      </c>
    </row>
    <row r="112" spans="1:39" x14ac:dyDescent="0.3">
      <c r="A112" s="24" t="s">
        <v>111</v>
      </c>
      <c r="B112" s="29" cm="1">
        <f t="array" ref="B112">GEOMEAN(1+K112:AM112)-1</f>
        <v>0.19212212265065109</v>
      </c>
      <c r="C112" s="80" cm="1">
        <f t="array" ref="C112">GEOMEAN(1+M112:AM112)-1</f>
        <v>0.18733402130678622</v>
      </c>
      <c r="D112" s="80" cm="1">
        <f t="array" ref="D112">GEOMEAN(1+O112:AM112)-1</f>
        <v>0.17626696509391371</v>
      </c>
      <c r="E112" s="80" cm="1">
        <f t="array" ref="E112">GEOMEAN(1+Y112:AM112)-1</f>
        <v>7.6695765633234991E-2</v>
      </c>
      <c r="F112" s="80" cm="1">
        <f t="array" ref="F112">GEOMEAN(1+AI112:AM112)-1</f>
        <v>0.12588717734959154</v>
      </c>
      <c r="G112" s="46">
        <v>0.2093895403330564</v>
      </c>
      <c r="H112" s="46">
        <v>0.21111086300111767</v>
      </c>
      <c r="I112" s="46">
        <f t="shared" si="3"/>
        <v>0.25600193189943388</v>
      </c>
      <c r="J112" s="46">
        <f t="shared" si="4"/>
        <v>0.23123407676408181</v>
      </c>
      <c r="K112" s="17">
        <v>0.65753031699930797</v>
      </c>
      <c r="L112" s="18">
        <v>-4.41900018678444E-2</v>
      </c>
      <c r="M112" s="18">
        <v>-0.38099565883981801</v>
      </c>
      <c r="N112" s="18">
        <v>1.87824278508729</v>
      </c>
      <c r="O112" s="18">
        <v>0.18948252816762101</v>
      </c>
      <c r="P112" s="18">
        <v>0.186980558730446</v>
      </c>
      <c r="Q112" s="18">
        <v>0.14184644938970101</v>
      </c>
      <c r="R112" s="18">
        <v>0.87160325588517795</v>
      </c>
      <c r="S112" s="18">
        <v>0.43488709307176598</v>
      </c>
      <c r="T112" s="18">
        <v>0.60331079726461101</v>
      </c>
      <c r="U112" s="18">
        <v>0.34023006058215099</v>
      </c>
      <c r="V112" s="18">
        <v>0.31729154358070499</v>
      </c>
      <c r="W112" s="18">
        <v>-0.21295543332384401</v>
      </c>
      <c r="X112" s="18">
        <v>0.98122239589688798</v>
      </c>
      <c r="Y112" s="18">
        <v>0.12656033951235901</v>
      </c>
      <c r="Z112" s="18">
        <v>8.1260881268667706E-3</v>
      </c>
      <c r="AA112" s="18">
        <v>0.100962137075472</v>
      </c>
      <c r="AB112" s="18">
        <v>-6.9335351109966498E-2</v>
      </c>
      <c r="AC112" s="18">
        <v>-0.16576871906614801</v>
      </c>
      <c r="AD112" s="18">
        <v>-0.111451629946478</v>
      </c>
      <c r="AE112" s="18">
        <v>0.383240999807687</v>
      </c>
      <c r="AF112" s="18">
        <v>0.34175164435578198</v>
      </c>
      <c r="AG112" s="18">
        <v>0.160471689763622</v>
      </c>
      <c r="AH112" s="18">
        <v>-9.8607968772587498E-2</v>
      </c>
      <c r="AI112" s="18">
        <v>0.50654505799028504</v>
      </c>
      <c r="AJ112" s="18">
        <v>8.7599408813781504E-2</v>
      </c>
      <c r="AK112" s="18">
        <v>-0.120884916486247</v>
      </c>
      <c r="AL112" s="18">
        <v>0.35493643392280799</v>
      </c>
      <c r="AM112" s="19">
        <v>-7.3045057414579007E-2</v>
      </c>
    </row>
    <row r="113" spans="1:39" x14ac:dyDescent="0.3">
      <c r="A113" s="24" t="s">
        <v>112</v>
      </c>
      <c r="B113" s="29" cm="1">
        <f t="array" ref="B113">GEOMEAN(1+K113:AM113)-1</f>
        <v>0.15230839602818658</v>
      </c>
      <c r="C113" s="80" cm="1">
        <f t="array" ref="C113">GEOMEAN(1+M113:AM113)-1</f>
        <v>0.13781522565814819</v>
      </c>
      <c r="D113" s="80" cm="1">
        <f t="array" ref="D113">GEOMEAN(1+O113:AM113)-1</f>
        <v>0.14776351755735817</v>
      </c>
      <c r="E113" s="80" cm="1">
        <f t="array" ref="E113">GEOMEAN(1+Y113:AM113)-1</f>
        <v>7.7241394082327108E-2</v>
      </c>
      <c r="F113" s="80" cm="1">
        <f t="array" ref="F113">GEOMEAN(1+AI113:AM113)-1</f>
        <v>0.14703412764979773</v>
      </c>
      <c r="G113" s="46">
        <v>0.20976991943199771</v>
      </c>
      <c r="H113" s="46">
        <v>0.21214895286560242</v>
      </c>
      <c r="I113" s="46">
        <f t="shared" si="3"/>
        <v>6.5740599317924919E-2</v>
      </c>
      <c r="J113" s="46">
        <f t="shared" si="4"/>
        <v>-3.312626049826615E-3</v>
      </c>
      <c r="K113" s="17">
        <v>0.38161124471838598</v>
      </c>
      <c r="L113" s="18">
        <v>0.35260253369660499</v>
      </c>
      <c r="M113" s="18">
        <v>-0.34739072264627802</v>
      </c>
      <c r="N113" s="18">
        <v>0.59578124251012998</v>
      </c>
      <c r="O113" s="18">
        <v>-3.2608616641649499E-3</v>
      </c>
      <c r="P113" s="18">
        <v>0.19343687194438999</v>
      </c>
      <c r="Q113" s="18">
        <v>0.248423262288434</v>
      </c>
      <c r="R113" s="18">
        <v>0.99743768254332998</v>
      </c>
      <c r="S113" s="18">
        <v>0.308040289057674</v>
      </c>
      <c r="T113" s="18">
        <v>0.393575455176643</v>
      </c>
      <c r="U113" s="18">
        <v>0.50133956614920505</v>
      </c>
      <c r="V113" s="18">
        <v>-5.4905385627488097E-2</v>
      </c>
      <c r="W113" s="18">
        <v>-0.40191478699304101</v>
      </c>
      <c r="X113" s="18">
        <v>1.23836012585038</v>
      </c>
      <c r="Y113" s="18">
        <v>0.14119225396124799</v>
      </c>
      <c r="Z113" s="18">
        <v>3.2097909430262001E-4</v>
      </c>
      <c r="AA113" s="18">
        <v>0.124364852559516</v>
      </c>
      <c r="AB113" s="18">
        <v>-0.12958880291754901</v>
      </c>
      <c r="AC113" s="18">
        <v>-0.11081573249787</v>
      </c>
      <c r="AD113" s="18">
        <v>-2.0894897414891499E-2</v>
      </c>
      <c r="AE113" s="18">
        <v>0.30242123099539198</v>
      </c>
      <c r="AF113" s="18">
        <v>0.30446625925661602</v>
      </c>
      <c r="AG113" s="18">
        <v>0.126759542842309</v>
      </c>
      <c r="AH113" s="18">
        <v>-0.174252567816751</v>
      </c>
      <c r="AI113" s="18">
        <v>0.92724922071909199</v>
      </c>
      <c r="AJ113" s="18">
        <v>-0.10000271751642199</v>
      </c>
      <c r="AK113" s="18">
        <v>-0.19903531078907999</v>
      </c>
      <c r="AL113" s="18">
        <v>0.43935539982344601</v>
      </c>
      <c r="AM113" s="19">
        <v>-7.0641083266220796E-3</v>
      </c>
    </row>
    <row r="114" spans="1:39" ht="15" thickBot="1" x14ac:dyDescent="0.35">
      <c r="A114" s="68" t="s">
        <v>53</v>
      </c>
      <c r="B114" s="69" cm="1">
        <f t="array" ref="B114">GEOMEAN(1+K114:AM114)-1</f>
        <v>0.11744854420135509</v>
      </c>
      <c r="C114" s="81" cm="1">
        <f t="array" ref="C114">GEOMEAN(1+M114:AM114)-1</f>
        <v>0.11979248019504651</v>
      </c>
      <c r="D114" s="93" cm="1">
        <f t="array" ref="D114">GEOMEAN(1+O114:AM114)-1</f>
        <v>7.7372889662203459E-2</v>
      </c>
      <c r="E114" s="93" cm="1">
        <f t="array" ref="E114">GEOMEAN(1+Y114:AM114)-1</f>
        <v>2.4163644180285715E-2</v>
      </c>
      <c r="F114" s="93" cm="1">
        <f t="array" ref="F114">GEOMEAN(1+AI114:AM114)-1</f>
        <v>-4.3939667779152591E-3</v>
      </c>
      <c r="G114" s="70">
        <v>0.28712667867555003</v>
      </c>
      <c r="H114" s="70">
        <v>0.29365902470187316</v>
      </c>
      <c r="I114" s="70">
        <f>(B114-$B$2)/G114</f>
        <v>-7.3380334080022508E-2</v>
      </c>
      <c r="J114" s="70">
        <f t="shared" si="4"/>
        <v>-6.3766184709692197E-2</v>
      </c>
      <c r="K114" s="71">
        <v>0.28348699742218397</v>
      </c>
      <c r="L114" s="72">
        <v>-8.0623809057040002E-2</v>
      </c>
      <c r="M114" s="72">
        <v>1.2110462323670499</v>
      </c>
      <c r="N114" s="72">
        <v>0.48924058154457001</v>
      </c>
      <c r="O114" s="72">
        <v>0.150037685432304</v>
      </c>
      <c r="P114" s="72">
        <v>-8.5529567134003504E-2</v>
      </c>
      <c r="Q114" s="72">
        <v>-2.7458100791857398E-2</v>
      </c>
      <c r="R114" s="72">
        <v>0.53515486464184003</v>
      </c>
      <c r="S114" s="72">
        <v>0.29806922273774</v>
      </c>
      <c r="T114" s="72">
        <v>0.66491133453002804</v>
      </c>
      <c r="U114" s="72">
        <v>0.23944581290925901</v>
      </c>
      <c r="V114" s="72">
        <v>6.5682537301332599E-3</v>
      </c>
      <c r="W114" s="72">
        <v>-0.57044999708024102</v>
      </c>
      <c r="X114" s="72">
        <v>1.4768233397928501</v>
      </c>
      <c r="Y114" s="72">
        <v>3.97538440020129E-2</v>
      </c>
      <c r="Z114" s="72">
        <v>-9.0862388446089196E-2</v>
      </c>
      <c r="AA114" s="72">
        <v>7.1766513921664096E-2</v>
      </c>
      <c r="AB114" s="72">
        <v>-4.4544809852058699E-2</v>
      </c>
      <c r="AC114" s="72">
        <v>-0.11120019023564801</v>
      </c>
      <c r="AD114" s="72">
        <v>-8.7128016728007601E-2</v>
      </c>
      <c r="AE114" s="72">
        <v>0.24933459643292999</v>
      </c>
      <c r="AF114" s="72">
        <v>0.24654206853914901</v>
      </c>
      <c r="AG114" s="72">
        <v>0.139996300621505</v>
      </c>
      <c r="AH114" s="72">
        <v>4.8887914791305102E-2</v>
      </c>
      <c r="AI114" s="72">
        <v>0.904103990099001</v>
      </c>
      <c r="AJ114" s="72">
        <v>-0.10961084116912601</v>
      </c>
      <c r="AK114" s="72">
        <v>-0.44595049251458102</v>
      </c>
      <c r="AL114" s="72">
        <v>0.28690660746247798</v>
      </c>
      <c r="AM114" s="83">
        <v>-0.190770944023399</v>
      </c>
    </row>
    <row r="115" spans="1:39" ht="15" thickBot="1" x14ac:dyDescent="0.35">
      <c r="A115" s="104" t="s">
        <v>125</v>
      </c>
      <c r="B115" s="77"/>
      <c r="C115" s="75" cm="1">
        <f t="array" ref="C115">GEOMEAN(1+M115:AM115)-1</f>
        <v>0.23386272733308133</v>
      </c>
      <c r="D115" s="75" cm="1">
        <f t="array" ref="D115">GEOMEAN(1+O115:AM115)-1</f>
        <v>0.22096465412432575</v>
      </c>
      <c r="E115" s="75" cm="1">
        <f t="array" ref="E115">GEOMEAN(1+Y115:AM115)-1</f>
        <v>0.14134078606520339</v>
      </c>
      <c r="F115" s="12" cm="1">
        <f t="array" ref="F115">GEOMEAN(1+AI115:AM115)-1</f>
        <v>0.19893014671617681</v>
      </c>
      <c r="G115" s="154"/>
      <c r="H115" s="156">
        <v>0.18622658774585063</v>
      </c>
      <c r="I115" s="45"/>
      <c r="J115" s="45">
        <f>(C115-$B$2)/H115</f>
        <v>0.51198237953727166</v>
      </c>
      <c r="K115" s="84"/>
      <c r="L115" s="73"/>
      <c r="M115" s="15">
        <v>-2.3503355992570502E-2</v>
      </c>
      <c r="N115" s="15">
        <v>1.02748090982326</v>
      </c>
      <c r="O115" s="15">
        <v>0.144137597351885</v>
      </c>
      <c r="P115" s="15">
        <v>0.33336076937794901</v>
      </c>
      <c r="Q115" s="15">
        <v>0.39668314217485801</v>
      </c>
      <c r="R115" s="15">
        <v>0.81491829144801398</v>
      </c>
      <c r="S115" s="15">
        <v>0.51821826328254805</v>
      </c>
      <c r="T115" s="15">
        <v>0.28380655647706898</v>
      </c>
      <c r="U115" s="15">
        <v>0.56921406563507004</v>
      </c>
      <c r="V115" s="15">
        <v>0.164346634789588</v>
      </c>
      <c r="W115" s="15">
        <v>-0.219381177798674</v>
      </c>
      <c r="X115" s="15">
        <v>0.88334130542170897</v>
      </c>
      <c r="Y115" s="15">
        <v>0.277901255674812</v>
      </c>
      <c r="Z115" s="15">
        <v>0.27383378867881603</v>
      </c>
      <c r="AA115" s="15">
        <v>0.277033858588008</v>
      </c>
      <c r="AB115" s="15">
        <v>-0.10228219885628401</v>
      </c>
      <c r="AC115" s="15">
        <v>-0.15483289974362199</v>
      </c>
      <c r="AD115" s="15">
        <v>-5.8443973149018801E-2</v>
      </c>
      <c r="AE115" s="15">
        <v>0.38542709934019898</v>
      </c>
      <c r="AF115" s="15">
        <v>0.215115680481404</v>
      </c>
      <c r="AG115" s="15">
        <v>0.211262174957834</v>
      </c>
      <c r="AH115" s="15">
        <v>-3.1543463592087498E-2</v>
      </c>
      <c r="AI115" s="15">
        <v>1.0696807567964799</v>
      </c>
      <c r="AJ115" s="15">
        <v>9.8271812907951797E-2</v>
      </c>
      <c r="AK115" s="15">
        <v>-0.14629787133755801</v>
      </c>
      <c r="AL115" s="15">
        <v>0.26482225749620902</v>
      </c>
      <c r="AM115" s="16">
        <v>9.3001541112378606E-3</v>
      </c>
    </row>
    <row r="116" spans="1:39" ht="15" thickBot="1" x14ac:dyDescent="0.35">
      <c r="A116" s="104" t="s">
        <v>179</v>
      </c>
      <c r="B116" s="78"/>
      <c r="C116" s="80" cm="1">
        <f t="array" ref="C116">GEOMEAN(1+M116:AM116)-1</f>
        <v>0.22143202566713693</v>
      </c>
      <c r="D116" s="80" cm="1">
        <f t="array" ref="D116">GEOMEAN(1+O116:AM116)-1</f>
        <v>0.21378196666620308</v>
      </c>
      <c r="E116" s="80" cm="1">
        <f t="array" ref="E116">GEOMEAN(1+Y116:AM116)-1</f>
        <v>0.12749265565330337</v>
      </c>
      <c r="F116" s="80" cm="1">
        <f t="array" ref="F116">GEOMEAN(1+AI116:AM116)-1</f>
        <v>0.16718274675304912</v>
      </c>
      <c r="G116" s="153"/>
      <c r="H116" s="157">
        <v>0.1853215472439417</v>
      </c>
      <c r="I116" s="46"/>
      <c r="J116" s="46">
        <f>(C116-$B$2)/H116</f>
        <v>0.44740631132407749</v>
      </c>
      <c r="K116" s="51"/>
      <c r="L116" s="50"/>
      <c r="M116" s="18">
        <v>-0.10396761707857601</v>
      </c>
      <c r="N116" s="18">
        <v>0.94818615394751604</v>
      </c>
      <c r="O116" s="18">
        <v>0.16664999263080801</v>
      </c>
      <c r="P116" s="18">
        <v>0.35219680597763903</v>
      </c>
      <c r="Q116" s="18">
        <v>0.37928435318863502</v>
      </c>
      <c r="R116" s="18">
        <v>0.912005838561187</v>
      </c>
      <c r="S116" s="18">
        <v>0.49181920197125001</v>
      </c>
      <c r="T116" s="18">
        <v>0.28440420658370802</v>
      </c>
      <c r="U116" s="18">
        <v>0.51341156777664998</v>
      </c>
      <c r="V116" s="18">
        <v>0.158549061299502</v>
      </c>
      <c r="W116" s="18">
        <v>-0.17555584959544299</v>
      </c>
      <c r="X116" s="18">
        <v>0.82069438309771503</v>
      </c>
      <c r="Y116" s="18">
        <v>0.29660923332398997</v>
      </c>
      <c r="Z116" s="18">
        <v>0.301456887015283</v>
      </c>
      <c r="AA116" s="18">
        <v>0.27978552767821602</v>
      </c>
      <c r="AB116" s="18">
        <v>-0.108360276005092</v>
      </c>
      <c r="AC116" s="18">
        <v>-0.153340358115058</v>
      </c>
      <c r="AD116" s="18">
        <v>-7.3091617525337799E-2</v>
      </c>
      <c r="AE116" s="18">
        <v>0.35426839085531597</v>
      </c>
      <c r="AF116" s="18">
        <v>0.21897374056732899</v>
      </c>
      <c r="AG116" s="18">
        <v>0.172336406850672</v>
      </c>
      <c r="AH116" s="18">
        <v>-4.5119517797554597E-2</v>
      </c>
      <c r="AI116" s="18">
        <v>0.87213645895138103</v>
      </c>
      <c r="AJ116" s="18">
        <v>6.3210575659441395E-2</v>
      </c>
      <c r="AK116" s="18">
        <v>-0.13479098178645699</v>
      </c>
      <c r="AL116" s="18">
        <v>0.24206082604888199</v>
      </c>
      <c r="AM116" s="19">
        <v>1.26831995645704E-2</v>
      </c>
    </row>
    <row r="117" spans="1:39" ht="15" thickBot="1" x14ac:dyDescent="0.35">
      <c r="A117" s="59" t="s">
        <v>126</v>
      </c>
      <c r="B117" s="79"/>
      <c r="C117" s="13" cm="1">
        <f t="array" ref="C117">GEOMEAN(1+M117:AM117)-1</f>
        <v>0.2523239791107228</v>
      </c>
      <c r="D117" s="13" cm="1">
        <f t="array" ref="D117">GEOMEAN(1+O117:AM117)-1</f>
        <v>0.2485824606075886</v>
      </c>
      <c r="E117" s="13" cm="1">
        <f t="array" ref="E117">GEOMEAN(1+Y117:AM117)-1</f>
        <v>0.17143139144710062</v>
      </c>
      <c r="F117" s="81" cm="1">
        <f t="array" ref="F117">GEOMEAN(1+AI117:AM117)-1</f>
        <v>0.18682620588246279</v>
      </c>
      <c r="G117" s="155"/>
      <c r="H117" s="158">
        <v>0.18373090587096469</v>
      </c>
      <c r="I117" s="48"/>
      <c r="J117" s="95">
        <f>(C117-$B$2)/H117</f>
        <v>0.61941665592611406</v>
      </c>
      <c r="K117" s="85"/>
      <c r="L117" s="74"/>
      <c r="M117" s="21">
        <v>-0.121627096267946</v>
      </c>
      <c r="N117" s="21">
        <v>0.92415974614879404</v>
      </c>
      <c r="O117" s="21">
        <v>0.283704543962575</v>
      </c>
      <c r="P117" s="21">
        <v>0.321034008271113</v>
      </c>
      <c r="Q117" s="21">
        <v>0.42535886318308802</v>
      </c>
      <c r="R117" s="21">
        <v>0.96977960522699602</v>
      </c>
      <c r="S117" s="21">
        <v>0.58263280973323595</v>
      </c>
      <c r="T117" s="21">
        <v>0.16645816096315799</v>
      </c>
      <c r="U117" s="21">
        <v>0.45847704725375199</v>
      </c>
      <c r="V117" s="21">
        <v>0.40231652790359201</v>
      </c>
      <c r="W117" s="21">
        <v>-0.31000106760483698</v>
      </c>
      <c r="X117" s="21">
        <v>0.93247349047247496</v>
      </c>
      <c r="Y117" s="21">
        <v>0.38355938334531903</v>
      </c>
      <c r="Z117" s="21">
        <v>0.22632938478742201</v>
      </c>
      <c r="AA117" s="21">
        <v>0.25392178028182799</v>
      </c>
      <c r="AB117" s="21">
        <v>-0.110580896278661</v>
      </c>
      <c r="AC117" s="21">
        <v>-4.2984892033952803E-2</v>
      </c>
      <c r="AD117" s="21">
        <v>-6.9355463692055697E-4</v>
      </c>
      <c r="AE117" s="21">
        <v>0.30046079550599802</v>
      </c>
      <c r="AF117" s="21">
        <v>0.57764746625410102</v>
      </c>
      <c r="AG117" s="21">
        <v>0.32248897068329202</v>
      </c>
      <c r="AH117" s="21">
        <v>-7.1635289022486504E-2</v>
      </c>
      <c r="AI117" s="21">
        <v>0.64990385743560197</v>
      </c>
      <c r="AJ117" s="21">
        <v>0.15372915355751199</v>
      </c>
      <c r="AK117" s="21">
        <v>-0.123636198088672</v>
      </c>
      <c r="AL117" s="21">
        <v>0.32008253143300802</v>
      </c>
      <c r="AM117" s="22">
        <v>6.92705768888182E-2</v>
      </c>
    </row>
    <row r="118" spans="1:39" x14ac:dyDescent="0.3">
      <c r="H118"/>
    </row>
    <row r="119" spans="1:39" x14ac:dyDescent="0.3">
      <c r="H119" s="152"/>
    </row>
    <row r="120" spans="1:39" x14ac:dyDescent="0.3">
      <c r="H120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F7DCD-B374-4507-BEF7-45ACDB8EB7EF}">
  <dimension ref="A1:AW34"/>
  <sheetViews>
    <sheetView workbookViewId="0">
      <pane ySplit="4" topLeftCell="A5" activePane="bottomLeft" state="frozen"/>
      <selection pane="bottomLeft" activeCell="AS12" sqref="AS12"/>
    </sheetView>
  </sheetViews>
  <sheetFormatPr defaultColWidth="8.33203125" defaultRowHeight="14.4" x14ac:dyDescent="0.3"/>
  <cols>
    <col min="1" max="1" width="23.109375" bestFit="1" customWidth="1"/>
    <col min="2" max="6" width="12.109375" bestFit="1" customWidth="1"/>
    <col min="7" max="7" width="16.88671875" bestFit="1" customWidth="1"/>
    <col min="8" max="8" width="16" bestFit="1" customWidth="1"/>
    <col min="9" max="10" width="15.109375" bestFit="1" customWidth="1"/>
    <col min="11" max="11" width="6.88671875" bestFit="1" customWidth="1"/>
    <col min="12" max="12" width="7.88671875" bestFit="1" customWidth="1"/>
    <col min="13" max="13" width="7.5546875" bestFit="1" customWidth="1"/>
    <col min="14" max="14" width="7.88671875" bestFit="1" customWidth="1"/>
    <col min="15" max="15" width="7.5546875" bestFit="1" customWidth="1"/>
    <col min="16" max="16" width="6.88671875" bestFit="1" customWidth="1"/>
    <col min="17" max="17" width="7.5546875" bestFit="1" customWidth="1"/>
    <col min="18" max="18" width="7.88671875" bestFit="1" customWidth="1"/>
    <col min="19" max="22" width="6.88671875" bestFit="1" customWidth="1"/>
    <col min="23" max="23" width="7.5546875" bestFit="1" customWidth="1"/>
    <col min="24" max="24" width="7.88671875" bestFit="1" customWidth="1"/>
    <col min="25" max="26" width="6.88671875" bestFit="1" customWidth="1"/>
    <col min="27" max="30" width="7.5546875" bestFit="1" customWidth="1"/>
    <col min="31" max="33" width="6.88671875" bestFit="1" customWidth="1"/>
    <col min="34" max="34" width="7.5546875" bestFit="1" customWidth="1"/>
    <col min="35" max="35" width="7.88671875" bestFit="1" customWidth="1"/>
    <col min="36" max="36" width="6.88671875" bestFit="1" customWidth="1"/>
    <col min="37" max="37" width="7.5546875" bestFit="1" customWidth="1"/>
    <col min="38" max="39" width="6.88671875" bestFit="1" customWidth="1"/>
    <col min="40" max="40" width="10.33203125" style="1" bestFit="1" customWidth="1"/>
    <col min="41" max="41" width="9.21875" style="1" bestFit="1" customWidth="1"/>
    <col min="42" max="42" width="13.21875" style="1" bestFit="1" customWidth="1"/>
    <col min="45" max="45" width="13.33203125" customWidth="1"/>
    <col min="46" max="49" width="18.6640625" customWidth="1"/>
  </cols>
  <sheetData>
    <row r="1" spans="1:49" s="1" customFormat="1" x14ac:dyDescent="0.3">
      <c r="A1" s="50" t="s">
        <v>0</v>
      </c>
      <c r="B1" s="50" t="s">
        <v>120</v>
      </c>
      <c r="C1" s="50" t="s">
        <v>121</v>
      </c>
      <c r="D1" s="50" t="s">
        <v>122</v>
      </c>
      <c r="E1" s="50" t="s">
        <v>123</v>
      </c>
      <c r="F1" s="50" t="s">
        <v>124</v>
      </c>
      <c r="G1" s="50" t="s">
        <v>131</v>
      </c>
      <c r="H1" s="50" t="s">
        <v>128</v>
      </c>
      <c r="I1" s="50" t="s">
        <v>130</v>
      </c>
      <c r="J1" s="50" t="s">
        <v>129</v>
      </c>
      <c r="K1" s="50">
        <v>1996</v>
      </c>
      <c r="L1" s="50">
        <v>1997</v>
      </c>
      <c r="M1" s="50">
        <v>1998</v>
      </c>
      <c r="N1" s="50">
        <v>1999</v>
      </c>
      <c r="O1" s="50">
        <v>2000</v>
      </c>
      <c r="P1" s="50">
        <v>2001</v>
      </c>
      <c r="Q1" s="50">
        <v>2002</v>
      </c>
      <c r="R1" s="50">
        <v>2003</v>
      </c>
      <c r="S1" s="50">
        <v>2004</v>
      </c>
      <c r="T1" s="50">
        <v>2005</v>
      </c>
      <c r="U1" s="50">
        <v>2006</v>
      </c>
      <c r="V1" s="50">
        <v>2007</v>
      </c>
      <c r="W1" s="50">
        <v>2008</v>
      </c>
      <c r="X1" s="50">
        <v>2009</v>
      </c>
      <c r="Y1" s="50">
        <v>2010</v>
      </c>
      <c r="Z1" s="50">
        <v>2011</v>
      </c>
      <c r="AA1" s="50">
        <v>2012</v>
      </c>
      <c r="AB1" s="50">
        <v>2013</v>
      </c>
      <c r="AC1" s="50">
        <v>2014</v>
      </c>
      <c r="AD1" s="50">
        <v>2015</v>
      </c>
      <c r="AE1" s="50">
        <v>2016</v>
      </c>
      <c r="AF1" s="50">
        <v>2017</v>
      </c>
      <c r="AG1" s="50">
        <v>2018</v>
      </c>
      <c r="AH1" s="50">
        <v>2019</v>
      </c>
      <c r="AI1" s="50">
        <v>2020</v>
      </c>
      <c r="AJ1" s="50">
        <v>2021</v>
      </c>
      <c r="AK1" s="50">
        <v>2022</v>
      </c>
      <c r="AL1" s="50">
        <v>2023</v>
      </c>
      <c r="AM1" s="50">
        <v>2024</v>
      </c>
    </row>
    <row r="2" spans="1:49" s="1" customFormat="1" x14ac:dyDescent="0.3">
      <c r="A2" s="50" t="s">
        <v>52</v>
      </c>
      <c r="B2" s="163" cm="1">
        <f t="array" ref="B2">GEOMEAN(1+K2:AM2)-1</f>
        <v>0.13851799580585422</v>
      </c>
      <c r="C2" s="163" cm="1">
        <f t="array" ref="C2">GEOMEAN(1+M2:AM2)-1</f>
        <v>0.13129945916353591</v>
      </c>
      <c r="D2" s="163" cm="1">
        <f t="array" ref="D2">GEOMEAN(1+O2:AM2)-1</f>
        <v>0.1199046925770817</v>
      </c>
      <c r="E2" s="163" cm="1">
        <f t="array" ref="E2">GEOMEAN(1+Y2:AM2)-1</f>
        <v>9.7262894604768446E-2</v>
      </c>
      <c r="F2" s="163" cm="1">
        <f t="array" ref="F2">GEOMEAN(1+AI2:AM2)-1</f>
        <v>0.10469627873629661</v>
      </c>
      <c r="G2" s="164">
        <v>1.7690999999999998E-2</v>
      </c>
      <c r="H2" s="164">
        <v>1.5906E-2</v>
      </c>
      <c r="I2" s="163"/>
      <c r="J2" s="163"/>
      <c r="K2" s="160">
        <v>0.20978181839000001</v>
      </c>
      <c r="L2" s="160">
        <v>0.27219999312999998</v>
      </c>
      <c r="M2" s="160">
        <v>0.39259998322</v>
      </c>
      <c r="N2" s="160">
        <v>0.18370000839</v>
      </c>
      <c r="O2" s="160">
        <v>0.15720000267000001</v>
      </c>
      <c r="P2" s="160">
        <v>0.18549999237000001</v>
      </c>
      <c r="Q2" s="160">
        <v>0.26229999542000004</v>
      </c>
      <c r="R2" s="160">
        <v>0.16020000000000001</v>
      </c>
      <c r="S2" s="160">
        <v>0.19210000000000002</v>
      </c>
      <c r="T2" s="160">
        <v>0.16510000000000002</v>
      </c>
      <c r="U2" s="160">
        <v>0.12659999999999999</v>
      </c>
      <c r="V2" s="160">
        <v>0.1115</v>
      </c>
      <c r="W2" s="160">
        <v>0.1108</v>
      </c>
      <c r="X2" s="160">
        <v>8.6099999999999996E-2</v>
      </c>
      <c r="Y2" s="160">
        <v>0.1166</v>
      </c>
      <c r="Z2" s="160">
        <v>9.5199999999999993E-2</v>
      </c>
      <c r="AA2" s="160">
        <v>7.0099999999999996E-2</v>
      </c>
      <c r="AB2" s="160">
        <v>0.10550000000000001</v>
      </c>
      <c r="AC2" s="160">
        <v>0.126</v>
      </c>
      <c r="AD2" s="160">
        <v>0.14130000000000001</v>
      </c>
      <c r="AE2" s="160">
        <v>0.12130000000000001</v>
      </c>
      <c r="AF2" s="160">
        <v>6.3899999999999998E-2</v>
      </c>
      <c r="AG2" s="160">
        <v>6.4000000000000001E-2</v>
      </c>
      <c r="AH2" s="160">
        <v>3.6499999999999998E-2</v>
      </c>
      <c r="AI2" s="160">
        <v>2.6499999999999999E-2</v>
      </c>
      <c r="AJ2" s="160">
        <v>0.11650000000000001</v>
      </c>
      <c r="AK2" s="160">
        <v>0.13650000000000001</v>
      </c>
      <c r="AL2" s="160">
        <v>0.1065</v>
      </c>
      <c r="AM2" s="160">
        <v>0.14149999999999999</v>
      </c>
    </row>
    <row r="3" spans="1:49" s="1" customFormat="1" x14ac:dyDescent="0.3">
      <c r="A3" s="50" t="s">
        <v>51</v>
      </c>
      <c r="B3" s="163" cm="1">
        <f t="array" ref="B3">GEOMEAN(1+K3:AM3)-1</f>
        <v>0.11932897589833535</v>
      </c>
      <c r="C3" s="163" cm="1">
        <f t="array" ref="C3">GEOMEAN(1+M3:AM3)-1</f>
        <v>9.2519379169041516E-2</v>
      </c>
      <c r="D3" s="163" cm="1">
        <f t="array" ref="D3">GEOMEAN(1+O3:AM3)-1</f>
        <v>8.2819513562390146E-2</v>
      </c>
      <c r="E3" s="163" cm="1">
        <f t="array" ref="E3">GEOMEAN(1+Y3:AM3)-1</f>
        <v>4.1904037974256569E-2</v>
      </c>
      <c r="F3" s="163" cm="1">
        <f t="array" ref="F3">GEOMEAN(1+AI3:AM3)-1</f>
        <v>0.12272612325360077</v>
      </c>
      <c r="G3" s="164">
        <v>0.2722</v>
      </c>
      <c r="H3" s="164">
        <v>0.26798</v>
      </c>
      <c r="I3" s="164">
        <f t="shared" ref="I3:J9" si="0">(B3-$B$2)/G3</f>
        <v>-7.0496031989415384E-2</v>
      </c>
      <c r="J3" s="164">
        <f t="shared" si="0"/>
        <v>-0.17164943890145798</v>
      </c>
      <c r="K3" s="161">
        <v>0.82526388019939878</v>
      </c>
      <c r="L3" s="161">
        <v>0.32087571870853604</v>
      </c>
      <c r="M3" s="170">
        <v>-0.10463753557676214</v>
      </c>
      <c r="N3" s="161">
        <v>0.66604338070306657</v>
      </c>
      <c r="O3" s="170">
        <v>-0.18978675645342313</v>
      </c>
      <c r="P3" s="170">
        <v>-8.2005817980329687E-2</v>
      </c>
      <c r="Q3" s="170">
        <v>-0.149464312660329</v>
      </c>
      <c r="R3" s="161">
        <v>0.96416215736716038</v>
      </c>
      <c r="S3" s="161">
        <v>0.20178845632734177</v>
      </c>
      <c r="T3" s="161">
        <v>0.42619316046599032</v>
      </c>
      <c r="U3" s="161">
        <v>0.2069247187162393</v>
      </c>
      <c r="V3" s="161">
        <v>0.33106278927604582</v>
      </c>
      <c r="W3" s="170">
        <v>-0.32874622752919569</v>
      </c>
      <c r="X3" s="161">
        <v>0.71951130116065976</v>
      </c>
      <c r="Y3" s="170">
        <v>-2.5365562518651186E-2</v>
      </c>
      <c r="Z3" s="170">
        <v>-5.9429037996092449E-2</v>
      </c>
      <c r="AA3" s="170">
        <v>-0.1264610137963107</v>
      </c>
      <c r="AB3" s="170">
        <v>-0.10537336740488357</v>
      </c>
      <c r="AC3" s="161">
        <v>1.4599119292260099E-2</v>
      </c>
      <c r="AD3" s="170">
        <v>-2.1407624633431044E-2</v>
      </c>
      <c r="AE3" s="161">
        <v>0.2982519228848266</v>
      </c>
      <c r="AF3" s="161">
        <v>0.31363966514834418</v>
      </c>
      <c r="AG3" s="161">
        <v>0.11771726209023869</v>
      </c>
      <c r="AH3" s="170">
        <v>-0.23471050959098905</v>
      </c>
      <c r="AI3" s="161">
        <v>0.59728982949272913</v>
      </c>
      <c r="AJ3" s="161">
        <v>2.8855377329986442E-2</v>
      </c>
      <c r="AK3" s="170">
        <v>-0.15097621876407041</v>
      </c>
      <c r="AL3" s="161">
        <v>0.25739432403305007</v>
      </c>
      <c r="AM3" s="161">
        <v>1.680981623826E-2</v>
      </c>
    </row>
    <row r="4" spans="1:49" s="1" customFormat="1" x14ac:dyDescent="0.3">
      <c r="A4" s="50" t="s">
        <v>127</v>
      </c>
      <c r="B4" s="163" cm="1">
        <f t="array" ref="B4">GEOMEAN(1+K4:AM4)-1</f>
        <v>0.14320424815235988</v>
      </c>
      <c r="C4" s="163" cm="1">
        <f t="array" ref="C4">GEOMEAN(1+M4:AM4)-1</f>
        <v>0.12454876336760945</v>
      </c>
      <c r="D4" s="163" cm="1">
        <f t="array" ref="D4">GEOMEAN(1+O4:AM4)-1</f>
        <v>0.11855353414498748</v>
      </c>
      <c r="E4" s="163" cm="1">
        <f t="array" ref="E4">GEOMEAN(1+Y4:AM4)-1</f>
        <v>6.2873664753904546E-2</v>
      </c>
      <c r="F4" s="163" cm="1">
        <f t="array" ref="F4">GEOMEAN(1+AI4:AM4)-1</f>
        <v>0.12318034791494803</v>
      </c>
      <c r="G4" s="164">
        <v>0.25516100000000003</v>
      </c>
      <c r="H4" s="164">
        <v>0.251448</v>
      </c>
      <c r="I4" s="164">
        <f t="shared" si="0"/>
        <v>1.8365864479703634E-2</v>
      </c>
      <c r="J4" s="164">
        <f t="shared" si="0"/>
        <v>-5.5555154299277668E-2</v>
      </c>
      <c r="K4" s="160">
        <v>0.66139999999999999</v>
      </c>
      <c r="L4" s="160">
        <v>0.2266</v>
      </c>
      <c r="M4" s="171">
        <v>-0.17219999999999999</v>
      </c>
      <c r="N4" s="160">
        <v>0.74609999999999999</v>
      </c>
      <c r="O4" s="171">
        <v>-4.5400000000000003E-2</v>
      </c>
      <c r="P4" s="160">
        <v>6.4699999999999994E-2</v>
      </c>
      <c r="Q4" s="171">
        <v>-1.06E-2</v>
      </c>
      <c r="R4" s="160">
        <v>0.80430000000000001</v>
      </c>
      <c r="S4" s="160">
        <v>0.3357</v>
      </c>
      <c r="T4" s="160">
        <v>0.49940000000000001</v>
      </c>
      <c r="U4" s="160">
        <v>0.22600000000000001</v>
      </c>
      <c r="V4" s="160">
        <v>0.34549999999999997</v>
      </c>
      <c r="W4" s="171">
        <v>-0.31230000000000002</v>
      </c>
      <c r="X4" s="160">
        <v>0.5998</v>
      </c>
      <c r="Y4" s="160">
        <v>1.34E-2</v>
      </c>
      <c r="Z4" s="171">
        <v>-1.5599999999999999E-2</v>
      </c>
      <c r="AA4" s="171">
        <v>-2.29E-2</v>
      </c>
      <c r="AB4" s="171">
        <v>-3.2000000000000001E-2</v>
      </c>
      <c r="AC4" s="160">
        <v>1.6899999999999998E-2</v>
      </c>
      <c r="AD4" s="171">
        <v>-2.53E-2</v>
      </c>
      <c r="AE4" s="160">
        <v>0.29759999999999998</v>
      </c>
      <c r="AF4" s="160">
        <v>0.31259999999999999</v>
      </c>
      <c r="AG4" s="160">
        <v>0.12670000000000001</v>
      </c>
      <c r="AH4" s="171">
        <v>-0.222</v>
      </c>
      <c r="AI4" s="160">
        <v>0.62170000000000003</v>
      </c>
      <c r="AJ4" s="160">
        <v>2.7900000000000001E-2</v>
      </c>
      <c r="AK4" s="171">
        <v>-0.1605</v>
      </c>
      <c r="AL4" s="160">
        <v>0.25180000000000002</v>
      </c>
      <c r="AM4" s="160">
        <v>2.0400000000000001E-2</v>
      </c>
      <c r="AN4" s="1" t="s">
        <v>187</v>
      </c>
      <c r="AO4" s="1" t="s">
        <v>188</v>
      </c>
      <c r="AP4" s="1" t="s">
        <v>182</v>
      </c>
    </row>
    <row r="5" spans="1:49" s="1" customFormat="1" x14ac:dyDescent="0.3">
      <c r="A5" s="50" t="s">
        <v>6</v>
      </c>
      <c r="B5" s="163" cm="1">
        <f t="array" ref="B5">GEOMEAN(1+K5:AM5)-1</f>
        <v>0.24205877228179595</v>
      </c>
      <c r="C5" s="163" cm="1">
        <f t="array" ref="C5">GEOMEAN(1+M5:AM5)-1</f>
        <v>0.23646204466260645</v>
      </c>
      <c r="D5" s="163" cm="1">
        <f t="array" ref="D5">GEOMEAN(1+O5:AM5)-1</f>
        <v>0.22827094385026658</v>
      </c>
      <c r="E5" s="163" cm="1">
        <f t="array" ref="E5">GEOMEAN(1+Y5:AM5)-1</f>
        <v>0.12817147966700593</v>
      </c>
      <c r="F5" s="163" cm="1">
        <f t="array" ref="F5">GEOMEAN(1+AI5:AM5)-1</f>
        <v>0.2142610567828418</v>
      </c>
      <c r="G5" s="165">
        <v>0.1953049898385508</v>
      </c>
      <c r="H5" s="165">
        <v>0.19671689590309865</v>
      </c>
      <c r="I5" s="165">
        <f t="shared" si="0"/>
        <v>0.53014916086646779</v>
      </c>
      <c r="J5" s="165">
        <f t="shared" si="0"/>
        <v>0.49789342398427622</v>
      </c>
      <c r="K5" s="166">
        <v>0.70734474279591997</v>
      </c>
      <c r="L5" s="166">
        <v>2.07507548913466E-2</v>
      </c>
      <c r="M5" s="168">
        <v>-0.12106742942986801</v>
      </c>
      <c r="N5" s="166">
        <v>1.0538621981465</v>
      </c>
      <c r="O5" s="166">
        <v>0.27352873160568802</v>
      </c>
      <c r="P5" s="166">
        <v>0.26233515023980197</v>
      </c>
      <c r="Q5" s="166">
        <v>0.533663516066058</v>
      </c>
      <c r="R5" s="166">
        <v>0.82881299597587699</v>
      </c>
      <c r="S5" s="166">
        <v>0.64943608071477898</v>
      </c>
      <c r="T5" s="166">
        <v>0.17995961754119599</v>
      </c>
      <c r="U5" s="166">
        <v>0.466152818429938</v>
      </c>
      <c r="V5" s="166">
        <v>0.187858467846866</v>
      </c>
      <c r="W5" s="168">
        <v>-0.18676562540824199</v>
      </c>
      <c r="X5" s="166">
        <v>1.2505185659255</v>
      </c>
      <c r="Y5" s="166">
        <v>0.25981317462417097</v>
      </c>
      <c r="Z5" s="166">
        <v>0.18740134717811099</v>
      </c>
      <c r="AA5" s="166">
        <v>0.130764709755575</v>
      </c>
      <c r="AB5" s="168">
        <v>-0.12256286286985001</v>
      </c>
      <c r="AC5" s="168">
        <v>-0.16471119596042599</v>
      </c>
      <c r="AD5" s="168">
        <v>-0.11378302728884</v>
      </c>
      <c r="AE5" s="166">
        <v>0.52263111216496405</v>
      </c>
      <c r="AF5" s="166">
        <v>0.39216224615041301</v>
      </c>
      <c r="AG5" s="166">
        <v>7.0077583277695601E-2</v>
      </c>
      <c r="AH5" s="168">
        <v>-7.2106929370229805E-2</v>
      </c>
      <c r="AI5" s="166">
        <v>1.00035922203272</v>
      </c>
      <c r="AJ5" s="166">
        <v>4.8103335474166502E-2</v>
      </c>
      <c r="AK5" s="168">
        <v>-9.77737655994977E-2</v>
      </c>
      <c r="AL5" s="166">
        <v>0.37072531272282599</v>
      </c>
      <c r="AM5" s="166">
        <v>1.8081050483457699E-2</v>
      </c>
    </row>
    <row r="6" spans="1:49" s="1" customFormat="1" x14ac:dyDescent="0.3">
      <c r="A6" s="50"/>
      <c r="B6" s="163"/>
      <c r="C6" s="163"/>
      <c r="D6" s="163"/>
      <c r="E6" s="163"/>
      <c r="F6" s="163"/>
      <c r="G6" s="165"/>
      <c r="H6" s="165"/>
      <c r="I6" s="165"/>
      <c r="J6" s="165"/>
      <c r="K6" s="168"/>
      <c r="L6" s="168"/>
      <c r="M6" s="168"/>
      <c r="N6" s="166"/>
      <c r="O6" s="166"/>
      <c r="P6" s="166"/>
      <c r="Q6" s="166"/>
      <c r="R6" s="168"/>
      <c r="S6" s="166"/>
      <c r="T6" s="168"/>
      <c r="U6" s="166"/>
      <c r="V6" s="168"/>
      <c r="W6" s="166"/>
      <c r="X6" s="166"/>
      <c r="Y6" s="166"/>
      <c r="Z6" s="166"/>
      <c r="AA6" s="166"/>
      <c r="AB6" s="168"/>
      <c r="AC6" s="168"/>
      <c r="AD6" s="168"/>
      <c r="AE6" s="166"/>
      <c r="AF6" s="166"/>
      <c r="AG6" s="168"/>
      <c r="AH6" s="166"/>
      <c r="AI6" s="166"/>
      <c r="AJ6" s="166"/>
      <c r="AK6" s="166"/>
      <c r="AL6" s="166"/>
      <c r="AM6" s="166"/>
      <c r="AN6" s="1">
        <v>10</v>
      </c>
      <c r="AO6" s="1">
        <v>8</v>
      </c>
      <c r="AP6" s="1">
        <v>7</v>
      </c>
      <c r="AT6" s="159" t="s">
        <v>183</v>
      </c>
      <c r="AU6" s="159" t="s">
        <v>185</v>
      </c>
      <c r="AV6" s="159" t="s">
        <v>184</v>
      </c>
      <c r="AW6" s="159" t="s">
        <v>185</v>
      </c>
    </row>
    <row r="7" spans="1:49" s="1" customFormat="1" x14ac:dyDescent="0.3">
      <c r="A7" s="50" t="s">
        <v>16</v>
      </c>
      <c r="B7" s="163" cm="1">
        <f t="array" ref="B7">GEOMEAN(1+K7:AM7)-1</f>
        <v>0.289264230833022</v>
      </c>
      <c r="C7" s="163" cm="1">
        <f t="array" ref="C7">GEOMEAN(1+M7:AM7)-1</f>
        <v>0.25418801252590151</v>
      </c>
      <c r="D7" s="163" cm="1">
        <f t="array" ref="D7">GEOMEAN(1+O7:AM7)-1</f>
        <v>0.22766444057555368</v>
      </c>
      <c r="E7" s="163" cm="1">
        <f t="array" ref="E7">GEOMEAN(1+Y7:AM7)-1</f>
        <v>0.13254019256490834</v>
      </c>
      <c r="F7" s="163" cm="1">
        <f t="array" ref="F7">GEOMEAN(1+AI7:AM7)-1</f>
        <v>0.216885908043847</v>
      </c>
      <c r="G7" s="165">
        <v>0.20589767806582096</v>
      </c>
      <c r="H7" s="165">
        <v>0.20287739385503065</v>
      </c>
      <c r="I7" s="165">
        <f t="shared" si="0"/>
        <v>0.73214150078456697</v>
      </c>
      <c r="J7" s="165">
        <f t="shared" si="0"/>
        <v>0.57014739060923258</v>
      </c>
      <c r="K7" s="166">
        <v>0.68528775813364395</v>
      </c>
      <c r="L7" s="166">
        <v>1.0770673862717901</v>
      </c>
      <c r="M7" s="168">
        <v>-8.3312214402420104E-4</v>
      </c>
      <c r="N7" s="166">
        <v>1.68634312092042</v>
      </c>
      <c r="O7" s="166">
        <v>0.18214376007705699</v>
      </c>
      <c r="P7" s="166">
        <v>0.31282132236197302</v>
      </c>
      <c r="Q7" s="166">
        <v>0.61666686416923799</v>
      </c>
      <c r="R7" s="166">
        <v>0.67847787314167896</v>
      </c>
      <c r="S7" s="166">
        <v>0.554602883491778</v>
      </c>
      <c r="T7" s="166">
        <v>0.26339559224762599</v>
      </c>
      <c r="U7" s="166">
        <v>0.56421208370810005</v>
      </c>
      <c r="V7" s="166">
        <v>0.21122831287492899</v>
      </c>
      <c r="W7" s="168">
        <v>-0.21156971501417501</v>
      </c>
      <c r="X7" s="166">
        <v>1.11023933606284</v>
      </c>
      <c r="Y7" s="166">
        <v>0.38759119907697598</v>
      </c>
      <c r="Z7" s="166">
        <v>0.23335697872466599</v>
      </c>
      <c r="AA7" s="166">
        <v>0.11222499213352401</v>
      </c>
      <c r="AB7" s="168">
        <v>-0.103965234352347</v>
      </c>
      <c r="AC7" s="168">
        <v>-0.216157404086155</v>
      </c>
      <c r="AD7" s="168">
        <v>-4.6175397041604102E-2</v>
      </c>
      <c r="AE7" s="166">
        <v>0.44005401749540601</v>
      </c>
      <c r="AF7" s="166">
        <v>0.16931448892321399</v>
      </c>
      <c r="AG7" s="166">
        <v>0.16293409047256699</v>
      </c>
      <c r="AH7" s="168">
        <v>-2.9211539081203001E-2</v>
      </c>
      <c r="AI7" s="166">
        <v>1.2062658651072</v>
      </c>
      <c r="AJ7" s="166">
        <v>7.4952355291769898E-2</v>
      </c>
      <c r="AK7" s="168">
        <v>-0.10813910900757299</v>
      </c>
      <c r="AL7" s="166">
        <v>0.32808485656578301</v>
      </c>
      <c r="AM7" s="168">
        <v>-5.0096904032683499E-2</v>
      </c>
      <c r="AS7" s="159" t="s">
        <v>186</v>
      </c>
      <c r="AT7" s="50" t="s">
        <v>189</v>
      </c>
      <c r="AU7" s="50" t="s">
        <v>189</v>
      </c>
      <c r="AV7" s="50">
        <v>12</v>
      </c>
      <c r="AW7" s="166">
        <f t="shared" ref="AW7:AW8" si="1">AV7/28</f>
        <v>0.42857142857142855</v>
      </c>
    </row>
    <row r="8" spans="1:49" s="1" customFormat="1" x14ac:dyDescent="0.3">
      <c r="A8" s="50"/>
      <c r="B8" s="163"/>
      <c r="C8" s="163"/>
      <c r="D8" s="163"/>
      <c r="E8" s="163"/>
      <c r="F8" s="163"/>
      <c r="G8" s="165"/>
      <c r="H8" s="165"/>
      <c r="I8" s="165"/>
      <c r="J8" s="165"/>
      <c r="K8" s="168"/>
      <c r="L8" s="166"/>
      <c r="M8" s="166"/>
      <c r="N8" s="166"/>
      <c r="O8" s="166"/>
      <c r="P8" s="166"/>
      <c r="Q8" s="166"/>
      <c r="R8" s="168"/>
      <c r="S8" s="166"/>
      <c r="T8" s="168"/>
      <c r="U8" s="166"/>
      <c r="V8" s="168"/>
      <c r="W8" s="166"/>
      <c r="X8" s="166"/>
      <c r="Y8" s="166"/>
      <c r="Z8" s="166"/>
      <c r="AA8" s="166"/>
      <c r="AB8" s="166"/>
      <c r="AC8" s="168"/>
      <c r="AD8" s="168"/>
      <c r="AE8" s="166"/>
      <c r="AF8" s="168"/>
      <c r="AG8" s="166"/>
      <c r="AH8" s="166"/>
      <c r="AI8" s="166"/>
      <c r="AJ8" s="166"/>
      <c r="AK8" s="166"/>
      <c r="AL8" s="166"/>
      <c r="AM8" s="168"/>
      <c r="AN8" s="1">
        <v>8</v>
      </c>
      <c r="AO8" s="1">
        <v>7</v>
      </c>
      <c r="AP8" s="1">
        <v>8</v>
      </c>
      <c r="AS8" s="159" t="s">
        <v>127</v>
      </c>
      <c r="AT8" s="50">
        <v>11</v>
      </c>
      <c r="AU8" s="18">
        <f>AT8/28</f>
        <v>0.39285714285714285</v>
      </c>
      <c r="AV8" s="50">
        <v>10</v>
      </c>
      <c r="AW8" s="166">
        <f t="shared" si="1"/>
        <v>0.35714285714285715</v>
      </c>
    </row>
    <row r="9" spans="1:49" s="1" customFormat="1" x14ac:dyDescent="0.3">
      <c r="A9" s="50" t="s">
        <v>26</v>
      </c>
      <c r="B9" s="163" cm="1">
        <f t="array" ref="B9">GEOMEAN(1+K9:AM9)-1</f>
        <v>0.25956337479366254</v>
      </c>
      <c r="C9" s="163" cm="1">
        <f t="array" ref="C9">GEOMEAN(1+M9:AM9)-1</f>
        <v>0.25570417705886239</v>
      </c>
      <c r="D9" s="163" cm="1">
        <f t="array" ref="D9">GEOMEAN(1+O9:AM9)-1</f>
        <v>0.2472886976814519</v>
      </c>
      <c r="E9" s="163" cm="1">
        <f t="array" ref="E9">GEOMEAN(1+Y9:AM9)-1</f>
        <v>0.14124510139841173</v>
      </c>
      <c r="F9" s="163" cm="1">
        <f t="array" ref="F9">GEOMEAN(1+AI9:AM9)-1</f>
        <v>0.19924435150374231</v>
      </c>
      <c r="G9" s="165">
        <v>0.19206699715793482</v>
      </c>
      <c r="H9" s="165">
        <v>0.1929976651665577</v>
      </c>
      <c r="I9" s="165">
        <f t="shared" si="0"/>
        <v>0.63022476937187644</v>
      </c>
      <c r="J9" s="165">
        <f t="shared" si="0"/>
        <v>0.60718963181174268</v>
      </c>
      <c r="K9" s="166">
        <v>0.66527527265409003</v>
      </c>
      <c r="L9" s="166">
        <v>3.4990843945031699E-2</v>
      </c>
      <c r="M9" s="166">
        <v>-8.5710257747449406E-2</v>
      </c>
      <c r="N9" s="166">
        <v>1.0403263043914399</v>
      </c>
      <c r="O9" s="166">
        <v>0.41271533176641401</v>
      </c>
      <c r="P9" s="166">
        <v>0.34880249786756501</v>
      </c>
      <c r="Q9" s="166">
        <v>0.60743824339776298</v>
      </c>
      <c r="R9" s="166">
        <v>0.86931064948345305</v>
      </c>
      <c r="S9" s="166">
        <v>0.353157870112491</v>
      </c>
      <c r="T9" s="166">
        <v>0.17828336745857101</v>
      </c>
      <c r="U9" s="166">
        <v>0.460720549385843</v>
      </c>
      <c r="V9" s="166">
        <v>0.41462467251334301</v>
      </c>
      <c r="W9" s="166">
        <v>-0.20132711609880399</v>
      </c>
      <c r="X9" s="166">
        <v>1.2934879350455399</v>
      </c>
      <c r="Y9" s="166">
        <v>0.30843975508698301</v>
      </c>
      <c r="Z9" s="166">
        <v>0.211834346187036</v>
      </c>
      <c r="AA9" s="166">
        <v>0.146771812337879</v>
      </c>
      <c r="AB9" s="166">
        <v>-4.1528307809626699E-2</v>
      </c>
      <c r="AC9" s="166">
        <v>-0.18863806409237199</v>
      </c>
      <c r="AD9" s="166">
        <v>-9.9367665903059205E-2</v>
      </c>
      <c r="AE9" s="166">
        <v>0.54830967332052305</v>
      </c>
      <c r="AF9" s="166">
        <v>0.44801784847256598</v>
      </c>
      <c r="AG9" s="166">
        <v>0.101846531134532</v>
      </c>
      <c r="AH9" s="166">
        <v>-7.0226456028867706E-2</v>
      </c>
      <c r="AI9" s="166">
        <v>0.911113311436623</v>
      </c>
      <c r="AJ9" s="166">
        <v>9.9333134040204801E-2</v>
      </c>
      <c r="AK9" s="166">
        <v>-0.112733457156483</v>
      </c>
      <c r="AL9" s="166">
        <v>0.40540044071607501</v>
      </c>
      <c r="AM9" s="166">
        <v>-5.31777353976206E-2</v>
      </c>
      <c r="AS9" s="159" t="s">
        <v>6</v>
      </c>
      <c r="AT9" s="50">
        <v>10</v>
      </c>
      <c r="AU9" s="3">
        <f>AT9/28</f>
        <v>0.35714285714285715</v>
      </c>
      <c r="AV9" s="50">
        <v>7</v>
      </c>
      <c r="AW9" s="3">
        <f>AV9/28</f>
        <v>0.25</v>
      </c>
    </row>
    <row r="10" spans="1:49" x14ac:dyDescent="0.3">
      <c r="A10" s="167"/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  <c r="AJ10" s="167"/>
      <c r="AK10" s="167"/>
      <c r="AL10" s="167"/>
      <c r="AM10" s="167"/>
      <c r="AN10" s="1">
        <v>8</v>
      </c>
      <c r="AO10" s="1">
        <v>6</v>
      </c>
      <c r="AP10" s="1">
        <v>8</v>
      </c>
      <c r="AS10" s="159" t="s">
        <v>16</v>
      </c>
      <c r="AT10" s="50">
        <v>8</v>
      </c>
      <c r="AU10" s="3">
        <f t="shared" ref="AU10:AU19" si="2">AT10/28</f>
        <v>0.2857142857142857</v>
      </c>
      <c r="AV10" s="50">
        <v>8</v>
      </c>
      <c r="AW10" s="3">
        <f t="shared" ref="AW10:AW19" si="3">AV10/28</f>
        <v>0.2857142857142857</v>
      </c>
    </row>
    <row r="11" spans="1:49" s="1" customFormat="1" x14ac:dyDescent="0.3">
      <c r="A11" s="50" t="s">
        <v>36</v>
      </c>
      <c r="B11" s="163" cm="1">
        <f t="array" ref="B11">GEOMEAN(1+K11:AM11)-1</f>
        <v>0.28811982861895991</v>
      </c>
      <c r="C11" s="163" cm="1">
        <f t="array" ref="C11">GEOMEAN(1+M11:AM11)-1</f>
        <v>0.25094237007563458</v>
      </c>
      <c r="D11" s="163" cm="1">
        <f t="array" ref="D11">GEOMEAN(1+O11:AM11)-1</f>
        <v>0.22053077834286139</v>
      </c>
      <c r="E11" s="163" cm="1">
        <f t="array" ref="E11">GEOMEAN(1+Y11:AM11)-1</f>
        <v>0.12585242315826561</v>
      </c>
      <c r="F11" s="163" cm="1">
        <f t="array" ref="F11">GEOMEAN(1+AI11:AM11)-1</f>
        <v>0.18698808507563069</v>
      </c>
      <c r="G11" s="165">
        <v>0.2052295776096352</v>
      </c>
      <c r="H11" s="165">
        <v>0.20163091540845404</v>
      </c>
      <c r="I11" s="165">
        <f t="shared" ref="I11:J11" si="4">(B11-$B$2)/G11</f>
        <v>0.72894869519081507</v>
      </c>
      <c r="J11" s="165">
        <f t="shared" si="4"/>
        <v>0.55757508238276143</v>
      </c>
      <c r="K11" s="166">
        <v>0.783289062492738</v>
      </c>
      <c r="L11" s="166">
        <v>1.0516476963365899</v>
      </c>
      <c r="M11" s="166">
        <v>1.7999823953844099E-2</v>
      </c>
      <c r="N11" s="166">
        <v>1.8440752085685099</v>
      </c>
      <c r="O11" s="166">
        <v>0.16301631738141101</v>
      </c>
      <c r="P11" s="166">
        <v>0.24444917653708301</v>
      </c>
      <c r="Q11" s="166">
        <v>0.460459406645853</v>
      </c>
      <c r="R11" s="166">
        <v>0.67847787314167995</v>
      </c>
      <c r="S11" s="166">
        <v>0.47720074317963901</v>
      </c>
      <c r="T11" s="166">
        <v>0.23899882859249699</v>
      </c>
      <c r="U11" s="166">
        <v>0.56421208370810005</v>
      </c>
      <c r="V11" s="166">
        <v>0.33173503595388598</v>
      </c>
      <c r="W11" s="168">
        <v>-0.19218863677864201</v>
      </c>
      <c r="X11" s="166">
        <v>1.2542105050685199</v>
      </c>
      <c r="Y11" s="166">
        <v>0.384763786878353</v>
      </c>
      <c r="Z11" s="166">
        <v>0.19548216443496499</v>
      </c>
      <c r="AA11" s="166">
        <v>0.129756139462468</v>
      </c>
      <c r="AB11" s="168">
        <v>-0.128992034155793</v>
      </c>
      <c r="AC11" s="168">
        <v>-0.19992092976602999</v>
      </c>
      <c r="AD11" s="168">
        <v>-9.4191463832071096E-2</v>
      </c>
      <c r="AE11" s="166">
        <v>0.50684273743902797</v>
      </c>
      <c r="AF11" s="166">
        <v>0.19781462787776499</v>
      </c>
      <c r="AG11" s="166">
        <v>0.20810088303243501</v>
      </c>
      <c r="AH11" s="168">
        <v>-2.4259104902377801E-2</v>
      </c>
      <c r="AI11" s="166">
        <v>0.99210956040250597</v>
      </c>
      <c r="AJ11" s="166">
        <v>0.11362487060836</v>
      </c>
      <c r="AK11" s="168">
        <v>-0.13852003020130499</v>
      </c>
      <c r="AL11" s="166">
        <v>0.30889386453107398</v>
      </c>
      <c r="AM11" s="168">
        <v>-5.8045250055087198E-2</v>
      </c>
      <c r="AS11" s="159" t="s">
        <v>26</v>
      </c>
      <c r="AT11" s="50">
        <v>8</v>
      </c>
      <c r="AU11" s="3">
        <f t="shared" si="2"/>
        <v>0.2857142857142857</v>
      </c>
      <c r="AV11" s="50">
        <v>8</v>
      </c>
      <c r="AW11" s="3">
        <f t="shared" si="3"/>
        <v>0.2857142857142857</v>
      </c>
    </row>
    <row r="12" spans="1:49" x14ac:dyDescent="0.3">
      <c r="A12" s="167"/>
      <c r="B12" s="167"/>
      <c r="C12" s="167"/>
      <c r="D12" s="167"/>
      <c r="E12" s="167"/>
      <c r="F12" s="167"/>
      <c r="G12" s="167"/>
      <c r="H12" s="167"/>
      <c r="I12" s="167"/>
      <c r="J12" s="167"/>
      <c r="K12" s="169"/>
      <c r="L12" s="167"/>
      <c r="M12" s="167"/>
      <c r="N12" s="167"/>
      <c r="O12" s="167"/>
      <c r="P12" s="167"/>
      <c r="Q12" s="167"/>
      <c r="R12" s="169"/>
      <c r="S12" s="167"/>
      <c r="T12" s="169"/>
      <c r="U12" s="167"/>
      <c r="V12" s="167"/>
      <c r="W12" s="167"/>
      <c r="X12" s="167"/>
      <c r="Y12" s="167"/>
      <c r="Z12" s="167"/>
      <c r="AA12" s="167"/>
      <c r="AB12" s="169"/>
      <c r="AC12" s="169"/>
      <c r="AD12" s="169"/>
      <c r="AE12" s="167"/>
      <c r="AF12" s="169"/>
      <c r="AG12" s="167"/>
      <c r="AH12" s="167"/>
      <c r="AI12" s="167"/>
      <c r="AJ12" s="167"/>
      <c r="AK12" s="167"/>
      <c r="AL12" s="167"/>
      <c r="AM12" s="169"/>
      <c r="AN12" s="1">
        <v>8</v>
      </c>
      <c r="AO12" s="1">
        <v>7</v>
      </c>
      <c r="AP12" s="1">
        <v>7</v>
      </c>
      <c r="AS12" s="159" t="s">
        <v>36</v>
      </c>
      <c r="AT12" s="50">
        <v>8</v>
      </c>
      <c r="AU12" s="3">
        <f t="shared" si="2"/>
        <v>0.2857142857142857</v>
      </c>
      <c r="AV12" s="50">
        <v>7</v>
      </c>
      <c r="AW12" s="3">
        <f t="shared" si="3"/>
        <v>0.25</v>
      </c>
    </row>
    <row r="13" spans="1:49" s="1" customFormat="1" x14ac:dyDescent="0.3">
      <c r="A13" s="50" t="s">
        <v>46</v>
      </c>
      <c r="B13" s="163" cm="1">
        <f t="array" ref="B13">GEOMEAN(1+K13:AM13)-1</f>
        <v>0.24178313612466495</v>
      </c>
      <c r="C13" s="163" cm="1">
        <f t="array" ref="C13">GEOMEAN(1+M13:AM13)-1</f>
        <v>0.23793536037491769</v>
      </c>
      <c r="D13" s="163" cm="1">
        <f t="array" ref="D13">GEOMEAN(1+O13:AM13)-1</f>
        <v>0.22918339289060929</v>
      </c>
      <c r="E13" s="163" cm="1">
        <f t="array" ref="E13">GEOMEAN(1+Y13:AM13)-1</f>
        <v>0.12092407197948418</v>
      </c>
      <c r="F13" s="163" cm="1">
        <f t="array" ref="F13">GEOMEAN(1+AI13:AM13)-1</f>
        <v>0.19387596024366371</v>
      </c>
      <c r="G13" s="165">
        <v>0.1962315184331126</v>
      </c>
      <c r="H13" s="165">
        <v>0.19747861608395351</v>
      </c>
      <c r="I13" s="165">
        <f t="shared" ref="I13:J13" si="5">(B13-$B$2)/G13</f>
        <v>0.52624135584014065</v>
      </c>
      <c r="J13" s="165">
        <f t="shared" si="5"/>
        <v>0.50343356936833328</v>
      </c>
      <c r="K13" s="166">
        <v>0.58642514067785201</v>
      </c>
      <c r="L13" s="166">
        <v>5.6968987056958499E-2</v>
      </c>
      <c r="M13" s="168">
        <v>-7.9992681156703105E-3</v>
      </c>
      <c r="N13" s="166">
        <v>0.84465881390237896</v>
      </c>
      <c r="O13" s="166">
        <v>0.32066547874243601</v>
      </c>
      <c r="P13" s="166">
        <v>0.41391090724312102</v>
      </c>
      <c r="Q13" s="166">
        <v>0.57379059161119195</v>
      </c>
      <c r="R13" s="166">
        <v>0.54979804819947997</v>
      </c>
      <c r="S13" s="166">
        <v>0.60790674419313395</v>
      </c>
      <c r="T13" s="166">
        <v>0.20756768572527101</v>
      </c>
      <c r="U13" s="166">
        <v>0.51108607885879098</v>
      </c>
      <c r="V13" s="166">
        <v>0.389247555816362</v>
      </c>
      <c r="W13" s="168">
        <v>-0.20159465510355001</v>
      </c>
      <c r="X13" s="166">
        <v>1.11773989013028</v>
      </c>
      <c r="Y13" s="166">
        <v>0.33881491883681703</v>
      </c>
      <c r="Z13" s="166">
        <v>0.21136584477145401</v>
      </c>
      <c r="AA13" s="166">
        <v>0.12994898882328301</v>
      </c>
      <c r="AB13" s="168">
        <v>-9.3788546814430496E-2</v>
      </c>
      <c r="AC13" s="168">
        <v>-0.17357249575429701</v>
      </c>
      <c r="AD13" s="168">
        <v>-9.8783873979377407E-2</v>
      </c>
      <c r="AE13" s="166">
        <v>0.47038307925851902</v>
      </c>
      <c r="AF13" s="166">
        <v>0.19577115915804799</v>
      </c>
      <c r="AG13" s="166">
        <v>9.9763266151222399E-2</v>
      </c>
      <c r="AH13" s="168">
        <v>-4.4674982407249299E-2</v>
      </c>
      <c r="AI13" s="166">
        <v>0.90447195175876305</v>
      </c>
      <c r="AJ13" s="166">
        <v>7.39460492171609E-2</v>
      </c>
      <c r="AK13" s="168">
        <v>-0.12403366560453299</v>
      </c>
      <c r="AL13" s="166">
        <v>0.36772987534319201</v>
      </c>
      <c r="AM13" s="168">
        <v>-1.01913552944104E-2</v>
      </c>
      <c r="AS13" s="159" t="s">
        <v>46</v>
      </c>
      <c r="AT13" s="50">
        <v>9</v>
      </c>
      <c r="AU13" s="3">
        <f t="shared" si="2"/>
        <v>0.32142857142857145</v>
      </c>
      <c r="AV13" s="50">
        <v>8</v>
      </c>
      <c r="AW13" s="3">
        <f t="shared" si="3"/>
        <v>0.2857142857142857</v>
      </c>
    </row>
    <row r="14" spans="1:49" x14ac:dyDescent="0.3">
      <c r="A14" s="167"/>
      <c r="B14" s="167"/>
      <c r="C14" s="167"/>
      <c r="D14" s="167"/>
      <c r="E14" s="167"/>
      <c r="F14" s="167"/>
      <c r="G14" s="167"/>
      <c r="H14" s="167"/>
      <c r="I14" s="167"/>
      <c r="J14" s="167"/>
      <c r="K14" s="169"/>
      <c r="L14" s="169"/>
      <c r="M14" s="167"/>
      <c r="N14" s="167"/>
      <c r="O14" s="167"/>
      <c r="P14" s="167"/>
      <c r="Q14" s="167"/>
      <c r="R14" s="169"/>
      <c r="S14" s="167"/>
      <c r="T14" s="169"/>
      <c r="U14" s="167"/>
      <c r="V14" s="167"/>
      <c r="W14" s="167"/>
      <c r="X14" s="167"/>
      <c r="Y14" s="167"/>
      <c r="Z14" s="167"/>
      <c r="AA14" s="167"/>
      <c r="AB14" s="167"/>
      <c r="AC14" s="169"/>
      <c r="AD14" s="169"/>
      <c r="AE14" s="167"/>
      <c r="AF14" s="169"/>
      <c r="AG14" s="169"/>
      <c r="AH14" s="167"/>
      <c r="AI14" s="167"/>
      <c r="AJ14" s="167"/>
      <c r="AK14" s="167"/>
      <c r="AL14" s="167"/>
      <c r="AM14" s="169"/>
      <c r="AN14" s="1">
        <v>9</v>
      </c>
      <c r="AO14" s="1">
        <v>7</v>
      </c>
      <c r="AP14" s="1">
        <v>8</v>
      </c>
      <c r="AS14" s="159" t="s">
        <v>60</v>
      </c>
      <c r="AT14" s="50">
        <v>10</v>
      </c>
      <c r="AU14" s="3">
        <f t="shared" si="2"/>
        <v>0.35714285714285715</v>
      </c>
      <c r="AV14" s="50">
        <v>6</v>
      </c>
      <c r="AW14" s="3">
        <f t="shared" si="3"/>
        <v>0.21428571428571427</v>
      </c>
    </row>
    <row r="15" spans="1:49" s="1" customFormat="1" x14ac:dyDescent="0.3">
      <c r="A15" s="50" t="s">
        <v>60</v>
      </c>
      <c r="B15" s="163" cm="1">
        <f t="array" ref="B15">GEOMEAN(1+K15:AM15)-1</f>
        <v>0.2191320740674807</v>
      </c>
      <c r="C15" s="163" cm="1">
        <f t="array" ref="C15">GEOMEAN(1+M15:AM15)-1</f>
        <v>0.21326929725076504</v>
      </c>
      <c r="D15" s="163" cm="1">
        <f t="array" ref="D15">GEOMEAN(1+O15:AM15)-1</f>
        <v>0.20748258680393783</v>
      </c>
      <c r="E15" s="163" cm="1">
        <f t="array" ref="E15">GEOMEAN(1+Y15:AM15)-1</f>
        <v>0.13681872270135598</v>
      </c>
      <c r="F15" s="163" cm="1">
        <f t="array" ref="F15">GEOMEAN(1+AI15:AM15)-1</f>
        <v>0.18071660629632258</v>
      </c>
      <c r="G15" s="165">
        <v>0.1820381084531732</v>
      </c>
      <c r="H15" s="165">
        <v>0.18149849570417945</v>
      </c>
      <c r="I15" s="165">
        <f t="shared" ref="I15:J15" si="6">(B15-$B$2)/G15</f>
        <v>0.44284177058653268</v>
      </c>
      <c r="J15" s="165">
        <f t="shared" si="6"/>
        <v>0.41185631404210854</v>
      </c>
      <c r="K15" s="166">
        <v>0.61140899407819005</v>
      </c>
      <c r="L15" s="166">
        <v>5.0561720753809603E-2</v>
      </c>
      <c r="M15" s="168">
        <v>-0.117203651449812</v>
      </c>
      <c r="N15" s="166">
        <v>0.87915309803048702</v>
      </c>
      <c r="O15" s="166">
        <v>0.19911638619709901</v>
      </c>
      <c r="P15" s="166">
        <v>0.17876691108315601</v>
      </c>
      <c r="Q15" s="166">
        <v>0.38553348739429699</v>
      </c>
      <c r="R15" s="166">
        <v>0.50295363474336097</v>
      </c>
      <c r="S15" s="166">
        <v>0.55470166138792798</v>
      </c>
      <c r="T15" s="166">
        <v>0.27148189123460298</v>
      </c>
      <c r="U15" s="166">
        <v>0.621807637106637</v>
      </c>
      <c r="V15" s="166">
        <v>7.5075359400598798E-2</v>
      </c>
      <c r="W15" s="168">
        <v>-0.173461513120613</v>
      </c>
      <c r="X15" s="166">
        <v>0.94152591994356005</v>
      </c>
      <c r="Y15" s="166">
        <v>0.30867483038191301</v>
      </c>
      <c r="Z15" s="166">
        <v>0.24455136230189201</v>
      </c>
      <c r="AA15" s="166">
        <v>0.20711724898411801</v>
      </c>
      <c r="AB15" s="168">
        <v>-2.36485160637421E-2</v>
      </c>
      <c r="AC15" s="166">
        <v>-0.18260514940737901</v>
      </c>
      <c r="AD15" s="168">
        <v>-2.4395362897070401E-2</v>
      </c>
      <c r="AE15" s="166">
        <v>0.30441662863477897</v>
      </c>
      <c r="AF15" s="166">
        <v>0.228610805460151</v>
      </c>
      <c r="AG15" s="166">
        <v>0.16405119214664399</v>
      </c>
      <c r="AH15" s="166">
        <v>4.45547173506897E-2</v>
      </c>
      <c r="AI15" s="166">
        <v>0.68126157715060298</v>
      </c>
      <c r="AJ15" s="166">
        <v>0.11056080978572801</v>
      </c>
      <c r="AK15" s="168">
        <v>-4.87207036523747E-2</v>
      </c>
      <c r="AL15" s="166">
        <v>0.34003347846984</v>
      </c>
      <c r="AM15" s="168">
        <v>-3.5889012844705401E-2</v>
      </c>
      <c r="AS15" s="159" t="s">
        <v>69</v>
      </c>
      <c r="AT15" s="50">
        <v>11</v>
      </c>
      <c r="AU15" s="3">
        <f t="shared" si="2"/>
        <v>0.39285714285714285</v>
      </c>
      <c r="AV15" s="50">
        <v>7</v>
      </c>
      <c r="AW15" s="3">
        <f t="shared" si="3"/>
        <v>0.25</v>
      </c>
    </row>
    <row r="16" spans="1:49" x14ac:dyDescent="0.3">
      <c r="A16" s="167"/>
      <c r="B16" s="167"/>
      <c r="C16" s="167"/>
      <c r="D16" s="167"/>
      <c r="E16" s="167"/>
      <c r="F16" s="167"/>
      <c r="G16" s="167"/>
      <c r="H16" s="167"/>
      <c r="I16" s="167"/>
      <c r="J16" s="167"/>
      <c r="K16" s="169"/>
      <c r="L16" s="169"/>
      <c r="M16" s="169"/>
      <c r="N16" s="167"/>
      <c r="O16" s="167"/>
      <c r="P16" s="167"/>
      <c r="Q16" s="167"/>
      <c r="R16" s="169"/>
      <c r="S16" s="167"/>
      <c r="T16" s="169"/>
      <c r="U16" s="167"/>
      <c r="V16" s="169"/>
      <c r="W16" s="167"/>
      <c r="X16" s="167"/>
      <c r="Y16" s="167"/>
      <c r="Z16" s="167"/>
      <c r="AA16" s="167"/>
      <c r="AB16" s="167"/>
      <c r="AC16" s="169"/>
      <c r="AD16" s="169"/>
      <c r="AE16" s="167"/>
      <c r="AF16" s="169"/>
      <c r="AG16" s="167"/>
      <c r="AH16" s="167"/>
      <c r="AI16" s="167"/>
      <c r="AJ16" s="167"/>
      <c r="AK16" s="167"/>
      <c r="AL16" s="167"/>
      <c r="AM16" s="169"/>
      <c r="AN16" s="1">
        <v>10</v>
      </c>
      <c r="AO16" s="1">
        <v>8</v>
      </c>
      <c r="AP16" s="1">
        <v>6</v>
      </c>
      <c r="AS16" s="159" t="s">
        <v>79</v>
      </c>
      <c r="AT16" s="50">
        <v>11</v>
      </c>
      <c r="AU16" s="3">
        <f t="shared" si="2"/>
        <v>0.39285714285714285</v>
      </c>
      <c r="AV16" s="50">
        <v>7</v>
      </c>
      <c r="AW16" s="3">
        <f t="shared" si="3"/>
        <v>0.25</v>
      </c>
    </row>
    <row r="17" spans="1:49" s="1" customFormat="1" x14ac:dyDescent="0.3">
      <c r="A17" s="50" t="s">
        <v>69</v>
      </c>
      <c r="B17" s="163" cm="1">
        <f t="array" ref="B17">GEOMEAN(1+K17:AM17)-1</f>
        <v>0.22036461107767602</v>
      </c>
      <c r="C17" s="163" cm="1">
        <f t="array" ref="C17">GEOMEAN(1+M17:AM17)-1</f>
        <v>0.22050743210997714</v>
      </c>
      <c r="D17" s="163" cm="1">
        <f t="array" ref="D17">GEOMEAN(1+O17:AM17)-1</f>
        <v>0.2205574243126458</v>
      </c>
      <c r="E17" s="163" cm="1">
        <f t="array" ref="E17">GEOMEAN(1+Y17:AM17)-1</f>
        <v>0.133476866002749</v>
      </c>
      <c r="F17" s="163" cm="1">
        <f t="array" ref="F17">GEOMEAN(1+AI17:AM17)-1</f>
        <v>0.18261759803845079</v>
      </c>
      <c r="G17" s="165">
        <v>0.17737738545902645</v>
      </c>
      <c r="H17" s="165">
        <v>0.17637358296282482</v>
      </c>
      <c r="I17" s="165">
        <f t="shared" ref="I17:J17" si="7">(B17-$B$2)/G17</f>
        <v>0.4614264386636146</v>
      </c>
      <c r="J17" s="165">
        <f t="shared" si="7"/>
        <v>0.46486233894451334</v>
      </c>
      <c r="K17" s="166">
        <v>0.41326356348234899</v>
      </c>
      <c r="L17" s="166">
        <v>5.0470409905897497E-2</v>
      </c>
      <c r="M17" s="168">
        <v>-0.13015611595483301</v>
      </c>
      <c r="N17" s="166">
        <v>0.71078262974033801</v>
      </c>
      <c r="O17" s="166">
        <v>0.40563704391980199</v>
      </c>
      <c r="P17" s="166">
        <v>0.157808379636867</v>
      </c>
      <c r="Q17" s="166">
        <v>0.66935573011851401</v>
      </c>
      <c r="R17" s="166">
        <v>1.07909550265691</v>
      </c>
      <c r="S17" s="166">
        <v>0.324082368943511</v>
      </c>
      <c r="T17" s="166">
        <v>0.24925596130517899</v>
      </c>
      <c r="U17" s="166">
        <v>0.56241394568599001</v>
      </c>
      <c r="V17" s="166">
        <v>8.8348749292039605E-2</v>
      </c>
      <c r="W17" s="168">
        <v>-0.25387220927572401</v>
      </c>
      <c r="X17" s="166">
        <v>0.878834195719008</v>
      </c>
      <c r="Y17" s="166">
        <v>0.257620021285277</v>
      </c>
      <c r="Z17" s="166">
        <v>0.21554292346463599</v>
      </c>
      <c r="AA17" s="166">
        <v>0.22917030319515799</v>
      </c>
      <c r="AB17" s="168">
        <v>-5.5728212076824803E-2</v>
      </c>
      <c r="AC17" s="168">
        <v>-6.7830087347549306E-2</v>
      </c>
      <c r="AD17" s="168">
        <v>-4.3029981928963797E-2</v>
      </c>
      <c r="AE17" s="166">
        <v>0.22369457983807101</v>
      </c>
      <c r="AF17" s="166">
        <v>0.25452020848016899</v>
      </c>
      <c r="AG17" s="166">
        <v>0.17568733502928899</v>
      </c>
      <c r="AH17" s="168">
        <v>-8.9319899845592392E-3</v>
      </c>
      <c r="AI17" s="166">
        <v>0.59478148773678696</v>
      </c>
      <c r="AJ17" s="166">
        <v>9.11690686769875E-2</v>
      </c>
      <c r="AK17" s="168">
        <v>-4.0121367583957498E-2</v>
      </c>
      <c r="AL17" s="166">
        <v>0.37425709031761101</v>
      </c>
      <c r="AM17" s="166">
        <v>7.7298978842803602E-3</v>
      </c>
      <c r="AS17" s="159" t="s">
        <v>89</v>
      </c>
      <c r="AT17" s="159">
        <v>6</v>
      </c>
      <c r="AU17" s="162">
        <f t="shared" si="2"/>
        <v>0.21428571428571427</v>
      </c>
      <c r="AV17" s="159">
        <v>4</v>
      </c>
      <c r="AW17" s="162">
        <f t="shared" si="3"/>
        <v>0.14285714285714285</v>
      </c>
    </row>
    <row r="18" spans="1:49" x14ac:dyDescent="0.3">
      <c r="A18" s="167"/>
      <c r="B18" s="167"/>
      <c r="C18" s="167"/>
      <c r="D18" s="167"/>
      <c r="E18" s="167"/>
      <c r="F18" s="167"/>
      <c r="G18" s="167"/>
      <c r="H18" s="167"/>
      <c r="I18" s="167"/>
      <c r="J18" s="167"/>
      <c r="K18" s="169"/>
      <c r="L18" s="169"/>
      <c r="M18" s="169"/>
      <c r="N18" s="167"/>
      <c r="O18" s="167"/>
      <c r="P18" s="167"/>
      <c r="Q18" s="167"/>
      <c r="R18" s="167"/>
      <c r="S18" s="167"/>
      <c r="T18" s="169"/>
      <c r="U18" s="167"/>
      <c r="V18" s="169"/>
      <c r="W18" s="167"/>
      <c r="X18" s="167"/>
      <c r="Y18" s="167"/>
      <c r="Z18" s="167"/>
      <c r="AA18" s="167"/>
      <c r="AB18" s="167"/>
      <c r="AC18" s="169"/>
      <c r="AD18" s="169"/>
      <c r="AE18" s="169"/>
      <c r="AF18" s="169"/>
      <c r="AG18" s="167"/>
      <c r="AH18" s="167"/>
      <c r="AI18" s="169"/>
      <c r="AJ18" s="167"/>
      <c r="AK18" s="167"/>
      <c r="AL18" s="167"/>
      <c r="AM18" s="169"/>
      <c r="AN18" s="1">
        <v>11</v>
      </c>
      <c r="AO18" s="1">
        <v>9</v>
      </c>
      <c r="AP18" s="1">
        <v>7</v>
      </c>
      <c r="AS18" s="159" t="s">
        <v>99</v>
      </c>
      <c r="AT18" s="159">
        <v>6</v>
      </c>
      <c r="AU18" s="162">
        <f t="shared" si="2"/>
        <v>0.21428571428571427</v>
      </c>
      <c r="AV18" s="50">
        <v>5</v>
      </c>
      <c r="AW18" s="3">
        <f t="shared" si="3"/>
        <v>0.17857142857142858</v>
      </c>
    </row>
    <row r="19" spans="1:49" s="1" customFormat="1" x14ac:dyDescent="0.3">
      <c r="A19" s="50" t="s">
        <v>79</v>
      </c>
      <c r="B19" s="163" cm="1">
        <f t="array" ref="B19">GEOMEAN(1+K19:AM19)-1</f>
        <v>0.211667054143305</v>
      </c>
      <c r="C19" s="163" cm="1">
        <f t="array" ref="C19">GEOMEAN(1+M19:AM19)-1</f>
        <v>0.2063078654556616</v>
      </c>
      <c r="D19" s="163" cm="1">
        <f t="array" ref="D19">GEOMEAN(1+O19:AM19)-1</f>
        <v>0.19715137626859347</v>
      </c>
      <c r="E19" s="163" cm="1">
        <f t="array" ref="E19">GEOMEAN(1+Y19:AM19)-1</f>
        <v>0.12243325414850958</v>
      </c>
      <c r="F19" s="163" cm="1">
        <f t="array" ref="F19">GEOMEAN(1+AI19:AM19)-1</f>
        <v>0.16187259398436393</v>
      </c>
      <c r="G19" s="165">
        <v>0.17826547299545681</v>
      </c>
      <c r="H19" s="165">
        <v>0.17714541932902972</v>
      </c>
      <c r="I19" s="165">
        <f t="shared" ref="I19:J19" si="8">(B19-$B$2)/G19</f>
        <v>0.4103377794269506</v>
      </c>
      <c r="J19" s="165">
        <f t="shared" si="8"/>
        <v>0.3826792129684965</v>
      </c>
      <c r="K19" s="166">
        <v>0.556287169563626</v>
      </c>
      <c r="L19" s="166">
        <v>6.3299565693964305E-2</v>
      </c>
      <c r="M19" s="168">
        <v>-8.8230332891761507E-2</v>
      </c>
      <c r="N19" s="166">
        <v>0.93089402862925597</v>
      </c>
      <c r="O19" s="166">
        <v>0.211301635197814</v>
      </c>
      <c r="P19" s="166">
        <v>0.17876691108315601</v>
      </c>
      <c r="Q19" s="166">
        <v>0.38553348739429499</v>
      </c>
      <c r="R19" s="166">
        <v>0.50295363474336097</v>
      </c>
      <c r="S19" s="166">
        <v>0.50843653048175297</v>
      </c>
      <c r="T19" s="166">
        <v>0.30287037416136098</v>
      </c>
      <c r="U19" s="166">
        <v>0.67617321337202196</v>
      </c>
      <c r="V19" s="166">
        <v>4.0898240967144298E-2</v>
      </c>
      <c r="W19" s="168">
        <v>-0.163438162386006</v>
      </c>
      <c r="X19" s="166">
        <v>0.86389968164089703</v>
      </c>
      <c r="Y19" s="166">
        <v>0.33968257459365497</v>
      </c>
      <c r="Z19" s="166">
        <v>0.17558034519079199</v>
      </c>
      <c r="AA19" s="166">
        <v>0.194285950966499</v>
      </c>
      <c r="AB19" s="168">
        <v>-2.43151592690917E-2</v>
      </c>
      <c r="AC19" s="168">
        <v>-0.225728924744412</v>
      </c>
      <c r="AD19" s="168">
        <v>-4.30839229606573E-2</v>
      </c>
      <c r="AE19" s="166">
        <v>0.269133678011997</v>
      </c>
      <c r="AF19" s="166">
        <v>0.24317884723012401</v>
      </c>
      <c r="AG19" s="166">
        <v>0.17680867941758699</v>
      </c>
      <c r="AH19" s="166">
        <v>5.78631764808255E-2</v>
      </c>
      <c r="AI19" s="166">
        <v>0.58760762221574503</v>
      </c>
      <c r="AJ19" s="166">
        <v>0.107854633612272</v>
      </c>
      <c r="AK19" s="168">
        <v>-6.5294466889827193E-2</v>
      </c>
      <c r="AL19" s="166">
        <v>0.34062836103607602</v>
      </c>
      <c r="AM19" s="168">
        <v>-3.9309781484354697E-2</v>
      </c>
      <c r="AS19" s="159" t="s">
        <v>109</v>
      </c>
      <c r="AT19" s="50">
        <v>7</v>
      </c>
      <c r="AU19" s="3">
        <f t="shared" si="2"/>
        <v>0.25</v>
      </c>
      <c r="AV19" s="159">
        <v>4</v>
      </c>
      <c r="AW19" s="162">
        <f t="shared" si="3"/>
        <v>0.14285714285714285</v>
      </c>
    </row>
    <row r="20" spans="1:49" x14ac:dyDescent="0.3">
      <c r="A20" s="167"/>
      <c r="B20" s="167"/>
      <c r="C20" s="167"/>
      <c r="D20" s="167"/>
      <c r="E20" s="167"/>
      <c r="F20" s="167"/>
      <c r="G20" s="167"/>
      <c r="H20" s="167"/>
      <c r="I20" s="167"/>
      <c r="J20" s="167"/>
      <c r="K20" s="169"/>
      <c r="L20" s="169"/>
      <c r="M20" s="167"/>
      <c r="N20" s="167"/>
      <c r="O20" s="167"/>
      <c r="P20" s="167"/>
      <c r="Q20" s="167"/>
      <c r="R20" s="169"/>
      <c r="S20" s="167"/>
      <c r="T20" s="169"/>
      <c r="U20" s="167"/>
      <c r="V20" s="169"/>
      <c r="W20" s="167"/>
      <c r="X20" s="167"/>
      <c r="Y20" s="167"/>
      <c r="Z20" s="167"/>
      <c r="AA20" s="167"/>
      <c r="AB20" s="167"/>
      <c r="AC20" s="169"/>
      <c r="AD20" s="169"/>
      <c r="AE20" s="169"/>
      <c r="AF20" s="169"/>
      <c r="AG20" s="167"/>
      <c r="AH20" s="167"/>
      <c r="AI20" s="169"/>
      <c r="AJ20" s="167"/>
      <c r="AK20" s="167"/>
      <c r="AL20" s="167"/>
      <c r="AM20" s="169"/>
      <c r="AN20" s="1">
        <v>11</v>
      </c>
      <c r="AO20" s="1">
        <v>9</v>
      </c>
      <c r="AP20" s="1">
        <v>7</v>
      </c>
    </row>
    <row r="21" spans="1:49" s="1" customFormat="1" x14ac:dyDescent="0.3">
      <c r="A21" s="50" t="s">
        <v>89</v>
      </c>
      <c r="B21" s="163" cm="1">
        <f t="array" ref="B21">GEOMEAN(1+K21:AM21)-1</f>
        <v>0.28377987565602214</v>
      </c>
      <c r="C21" s="163" cm="1">
        <f t="array" ref="C21">GEOMEAN(1+M21:AM21)-1</f>
        <v>0.24443412839134693</v>
      </c>
      <c r="D21" s="163" cm="1">
        <f t="array" ref="D21">GEOMEAN(1+O21:AM21)-1</f>
        <v>0.237771441891377</v>
      </c>
      <c r="E21" s="163" cm="1">
        <f t="array" ref="E21">GEOMEAN(1+Y21:AM21)-1</f>
        <v>0.1761098839775912</v>
      </c>
      <c r="F21" s="163" cm="1">
        <f t="array" ref="F21">GEOMEAN(1+AI21:AM21)-1</f>
        <v>0.19753581756901895</v>
      </c>
      <c r="G21" s="165">
        <v>0.20338670420428787</v>
      </c>
      <c r="H21" s="165">
        <v>0.20068002885183914</v>
      </c>
      <c r="I21" s="165">
        <f t="shared" ref="I21:J21" si="9">(B21-$B$2)/G21</f>
        <v>0.71421522079566424</v>
      </c>
      <c r="J21" s="165">
        <f t="shared" si="9"/>
        <v>0.52778611400185693</v>
      </c>
      <c r="K21" s="166">
        <v>0.77253520876885196</v>
      </c>
      <c r="L21" s="166">
        <v>1.1547149134613699</v>
      </c>
      <c r="M21" s="166">
        <v>3.3762439789066297E-2</v>
      </c>
      <c r="N21" s="166">
        <v>0.71320544139333497</v>
      </c>
      <c r="O21" s="166">
        <v>0.109747945353825</v>
      </c>
      <c r="P21" s="166">
        <v>0.158258283684654</v>
      </c>
      <c r="Q21" s="166">
        <v>0.52808510442856804</v>
      </c>
      <c r="R21" s="166">
        <v>0.96867815882724995</v>
      </c>
      <c r="S21" s="166">
        <v>0.57707701381984899</v>
      </c>
      <c r="T21" s="166">
        <v>0.229835899833014</v>
      </c>
      <c r="U21" s="166">
        <v>0.38002880018495599</v>
      </c>
      <c r="V21" s="166">
        <v>0.29059686859851902</v>
      </c>
      <c r="W21" s="168">
        <v>-0.27577060987397001</v>
      </c>
      <c r="X21" s="166">
        <v>0.87795837477644201</v>
      </c>
      <c r="Y21" s="166">
        <v>0.40084720840187699</v>
      </c>
      <c r="Z21" s="166">
        <v>0.13891216346556101</v>
      </c>
      <c r="AA21" s="166">
        <v>0.16367187251064999</v>
      </c>
      <c r="AB21" s="166">
        <v>1.0755949701533E-3</v>
      </c>
      <c r="AC21" s="168">
        <v>-1.13721315741515E-2</v>
      </c>
      <c r="AD21" s="168">
        <v>-4.53161120065326E-4</v>
      </c>
      <c r="AE21" s="166">
        <v>0.57797222145779903</v>
      </c>
      <c r="AF21" s="166">
        <v>0.19393700130726599</v>
      </c>
      <c r="AG21" s="166">
        <v>0.26585618339699502</v>
      </c>
      <c r="AH21" s="166">
        <v>5.6322171677328302E-2</v>
      </c>
      <c r="AI21" s="166">
        <v>0.80179076553657103</v>
      </c>
      <c r="AJ21" s="166">
        <v>8.3989025214536606E-2</v>
      </c>
      <c r="AK21" s="168">
        <v>-0.12234686388697399</v>
      </c>
      <c r="AL21" s="166">
        <v>0.43174357140842901</v>
      </c>
      <c r="AM21" s="166">
        <v>3.5179982010760101E-3</v>
      </c>
    </row>
    <row r="22" spans="1:49" x14ac:dyDescent="0.3">
      <c r="A22" s="167"/>
      <c r="B22" s="167"/>
      <c r="C22" s="167"/>
      <c r="D22" s="167"/>
      <c r="E22" s="167"/>
      <c r="F22" s="167"/>
      <c r="G22" s="167"/>
      <c r="H22" s="167"/>
      <c r="I22" s="167"/>
      <c r="J22" s="167"/>
      <c r="K22" s="169"/>
      <c r="L22" s="167"/>
      <c r="M22" s="167"/>
      <c r="N22" s="167"/>
      <c r="O22" s="167"/>
      <c r="P22" s="167"/>
      <c r="Q22" s="167"/>
      <c r="R22" s="167"/>
      <c r="S22" s="167"/>
      <c r="T22" s="169"/>
      <c r="U22" s="167"/>
      <c r="V22" s="169"/>
      <c r="W22" s="167"/>
      <c r="X22" s="167"/>
      <c r="Y22" s="167"/>
      <c r="Z22" s="167"/>
      <c r="AA22" s="167"/>
      <c r="AB22" s="167"/>
      <c r="AC22" s="169"/>
      <c r="AD22" s="167"/>
      <c r="AE22" s="167"/>
      <c r="AF22" s="169"/>
      <c r="AG22" s="167"/>
      <c r="AH22" s="167"/>
      <c r="AI22" s="167"/>
      <c r="AJ22" s="167"/>
      <c r="AK22" s="167"/>
      <c r="AL22" s="167"/>
      <c r="AM22" s="169"/>
      <c r="AN22" s="1">
        <v>6</v>
      </c>
      <c r="AO22" s="1">
        <v>5</v>
      </c>
      <c r="AP22" s="1">
        <v>4</v>
      </c>
      <c r="AS22" s="2"/>
      <c r="AT22" s="1"/>
      <c r="AU22" s="1"/>
      <c r="AV22" s="1"/>
      <c r="AW22" s="1"/>
    </row>
    <row r="23" spans="1:49" s="1" customFormat="1" x14ac:dyDescent="0.3">
      <c r="A23" s="50" t="s">
        <v>99</v>
      </c>
      <c r="B23" s="163" cm="1">
        <f t="array" ref="B23">GEOMEAN(1+K23:AM23)-1</f>
        <v>0.2778961639879256</v>
      </c>
      <c r="C23" s="163" cm="1">
        <f t="array" ref="C23">GEOMEAN(1+M23:AM23)-1</f>
        <v>0.27150874583128637</v>
      </c>
      <c r="D23" s="163" cm="1">
        <f t="array" ref="D23">GEOMEAN(1+O23:AM23)-1</f>
        <v>0.25470656202806019</v>
      </c>
      <c r="E23" s="163" cm="1">
        <f t="array" ref="E23">GEOMEAN(1+Y23:AM23)-1</f>
        <v>0.20513547649664154</v>
      </c>
      <c r="F23" s="163" cm="1">
        <f t="array" ref="F23">GEOMEAN(1+AI23:AM23)-1</f>
        <v>0.19358386085506485</v>
      </c>
      <c r="G23" s="165">
        <v>0.19352408617523331</v>
      </c>
      <c r="H23" s="165">
        <v>0.19350409276026773</v>
      </c>
      <c r="I23" s="165">
        <f t="shared" ref="I23:J23" si="10">(B23-$B$2)/G23</f>
        <v>0.72021096152272457</v>
      </c>
      <c r="J23" s="165">
        <f t="shared" si="10"/>
        <v>0.68727616107941669</v>
      </c>
      <c r="K23" s="166">
        <v>0.58523900770136905</v>
      </c>
      <c r="L23" s="166">
        <v>0.17938114499646601</v>
      </c>
      <c r="M23" s="166">
        <v>0.13583680219556801</v>
      </c>
      <c r="N23" s="166">
        <v>0.984962596002666</v>
      </c>
      <c r="O23" s="166">
        <v>0.22896092259427001</v>
      </c>
      <c r="P23" s="166">
        <v>0.19681871404624299</v>
      </c>
      <c r="Q23" s="166">
        <v>0.47715586387706299</v>
      </c>
      <c r="R23" s="166">
        <v>1.39474233145811</v>
      </c>
      <c r="S23" s="166">
        <v>0.60956942787846802</v>
      </c>
      <c r="T23" s="168">
        <v>-5.7833992586880899E-3</v>
      </c>
      <c r="U23" s="166">
        <v>0.29550025067567098</v>
      </c>
      <c r="V23" s="166">
        <v>0.34094165671244198</v>
      </c>
      <c r="W23" s="168">
        <v>-0.29707477844356101</v>
      </c>
      <c r="X23" s="166">
        <v>0.74107455804632805</v>
      </c>
      <c r="Y23" s="166">
        <v>0.41492224697257202</v>
      </c>
      <c r="Z23" s="166">
        <v>0.22292199131047999</v>
      </c>
      <c r="AA23" s="166">
        <v>0.27468591020410799</v>
      </c>
      <c r="AB23" s="166">
        <v>3.85967187371739E-3</v>
      </c>
      <c r="AC23" s="168">
        <v>-7.3329988073124006E-2</v>
      </c>
      <c r="AD23" s="168">
        <v>-2.6631462194879298E-2</v>
      </c>
      <c r="AE23" s="166">
        <v>0.66004040914281203</v>
      </c>
      <c r="AF23" s="166">
        <v>0.49494858720129797</v>
      </c>
      <c r="AG23" s="166">
        <v>0.31386259043272002</v>
      </c>
      <c r="AH23" s="166">
        <v>4.1282524774256799E-2</v>
      </c>
      <c r="AI23" s="166">
        <v>0.79028204182099504</v>
      </c>
      <c r="AJ23" s="166">
        <v>0.16410581993777201</v>
      </c>
      <c r="AK23" s="168">
        <v>-0.14716510775543201</v>
      </c>
      <c r="AL23" s="166">
        <v>0.35432208139674198</v>
      </c>
      <c r="AM23" s="166">
        <v>6.3843009979893698E-3</v>
      </c>
      <c r="AS23"/>
      <c r="AT23"/>
      <c r="AU23"/>
      <c r="AV23"/>
      <c r="AW23"/>
    </row>
    <row r="24" spans="1:49" x14ac:dyDescent="0.3">
      <c r="A24" s="167"/>
      <c r="B24" s="167"/>
      <c r="C24" s="167"/>
      <c r="D24" s="167"/>
      <c r="E24" s="167"/>
      <c r="F24" s="167"/>
      <c r="G24" s="167"/>
      <c r="H24" s="167"/>
      <c r="I24" s="167"/>
      <c r="J24" s="167"/>
      <c r="K24" s="169"/>
      <c r="L24" s="169"/>
      <c r="M24" s="167"/>
      <c r="N24" s="167"/>
      <c r="O24" s="167"/>
      <c r="P24" s="167"/>
      <c r="Q24" s="167"/>
      <c r="R24" s="167"/>
      <c r="S24" s="167"/>
      <c r="T24" s="169"/>
      <c r="U24" s="167"/>
      <c r="V24" s="167"/>
      <c r="W24" s="167"/>
      <c r="X24" s="167"/>
      <c r="Y24" s="167"/>
      <c r="Z24" s="167"/>
      <c r="AA24" s="167"/>
      <c r="AB24" s="167"/>
      <c r="AC24" s="169"/>
      <c r="AD24" s="169"/>
      <c r="AE24" s="167"/>
      <c r="AF24" s="167"/>
      <c r="AG24" s="167"/>
      <c r="AH24" s="167"/>
      <c r="AI24" s="167"/>
      <c r="AJ24" s="167"/>
      <c r="AK24" s="167"/>
      <c r="AL24" s="167"/>
      <c r="AM24" s="169"/>
      <c r="AN24" s="1">
        <v>6</v>
      </c>
      <c r="AO24" s="1">
        <v>4</v>
      </c>
      <c r="AP24" s="1">
        <v>5</v>
      </c>
      <c r="AS24" s="1"/>
      <c r="AT24" s="1"/>
      <c r="AU24" s="1"/>
      <c r="AV24" s="1"/>
      <c r="AW24" s="1"/>
    </row>
    <row r="25" spans="1:49" s="1" customFormat="1" x14ac:dyDescent="0.3">
      <c r="A25" s="50" t="s">
        <v>109</v>
      </c>
      <c r="B25" s="163" cm="1">
        <f t="array" ref="B25">GEOMEAN(1+K25:AM25)-1</f>
        <v>0.27706154505260194</v>
      </c>
      <c r="C25" s="163" cm="1">
        <f t="array" ref="C25">GEOMEAN(1+M25:AM25)-1</f>
        <v>0.26346745605040289</v>
      </c>
      <c r="D25" s="163" cm="1">
        <f t="array" ref="D25">GEOMEAN(1+O25:AM25)-1</f>
        <v>0.24950742917605306</v>
      </c>
      <c r="E25" s="163" cm="1">
        <f t="array" ref="E25">GEOMEAN(1+Y25:AM25)-1</f>
        <v>0.18922616956942262</v>
      </c>
      <c r="F25" s="163" cm="1">
        <f t="array" ref="F25">GEOMEAN(1+AI25:AM25)-1</f>
        <v>0.19788016358112559</v>
      </c>
      <c r="G25" s="165">
        <v>0.19909123977486512</v>
      </c>
      <c r="H25" s="165">
        <v>0.20070960044728473</v>
      </c>
      <c r="I25" s="165">
        <f t="shared" ref="I25:J25" si="11">(B25-$B$2)/G25</f>
        <v>0.69587968513036791</v>
      </c>
      <c r="J25" s="165">
        <f t="shared" si="11"/>
        <v>0.62253853311499152</v>
      </c>
      <c r="K25" s="166">
        <v>0.74811748132343803</v>
      </c>
      <c r="L25" s="166">
        <v>0.24549722581691899</v>
      </c>
      <c r="M25" s="166">
        <v>0.17590520933686199</v>
      </c>
      <c r="N25" s="166">
        <v>0.792199035914121</v>
      </c>
      <c r="O25" s="166">
        <v>0.15168194373562699</v>
      </c>
      <c r="P25" s="166">
        <v>0.122327535785255</v>
      </c>
      <c r="Q25" s="166">
        <v>0.58726736567237803</v>
      </c>
      <c r="R25" s="166">
        <v>0.96867815882724995</v>
      </c>
      <c r="S25" s="166">
        <v>0.62769753427294195</v>
      </c>
      <c r="T25" s="166">
        <v>0.229835899833015</v>
      </c>
      <c r="U25" s="166">
        <v>0.34433869913788401</v>
      </c>
      <c r="V25" s="166">
        <v>0.30105216102767701</v>
      </c>
      <c r="W25" s="168">
        <v>-0.30069443923196199</v>
      </c>
      <c r="X25" s="166">
        <v>0.96940916245293896</v>
      </c>
      <c r="Y25" s="166">
        <v>0.44998869760664501</v>
      </c>
      <c r="Z25" s="166">
        <v>0.181533829731958</v>
      </c>
      <c r="AA25" s="166">
        <v>0.18675117264792501</v>
      </c>
      <c r="AB25" s="168">
        <v>-4.5612520348933304E-3</v>
      </c>
      <c r="AC25" s="166">
        <v>8.7092533709154396E-4</v>
      </c>
      <c r="AD25" s="166">
        <v>1.4418666857274299E-4</v>
      </c>
      <c r="AE25" s="166">
        <v>0.57628145624871796</v>
      </c>
      <c r="AF25" s="166">
        <v>0.29141232814332702</v>
      </c>
      <c r="AG25" s="166">
        <v>0.27009020372001602</v>
      </c>
      <c r="AH25" s="166">
        <v>4.1696148193182597E-2</v>
      </c>
      <c r="AI25" s="166">
        <v>0.90172004417547202</v>
      </c>
      <c r="AJ25" s="166">
        <v>8.2554963942240003E-2</v>
      </c>
      <c r="AK25" s="168">
        <v>-0.12605045742043999</v>
      </c>
      <c r="AL25" s="166">
        <v>0.40586380864307697</v>
      </c>
      <c r="AM25" s="168">
        <v>-2.49189506579666E-2</v>
      </c>
      <c r="AS25"/>
      <c r="AT25"/>
      <c r="AU25"/>
      <c r="AV25"/>
      <c r="AW25"/>
    </row>
    <row r="26" spans="1:49" x14ac:dyDescent="0.3">
      <c r="A26" s="167"/>
      <c r="B26" s="167"/>
      <c r="C26" s="167"/>
      <c r="D26" s="167"/>
      <c r="E26" s="167"/>
      <c r="F26" s="167"/>
      <c r="G26" s="167"/>
      <c r="H26" s="167"/>
      <c r="I26" s="167"/>
      <c r="J26" s="167"/>
      <c r="K26" s="169"/>
      <c r="L26" s="169"/>
      <c r="M26" s="167"/>
      <c r="N26" s="167"/>
      <c r="O26" s="167"/>
      <c r="P26" s="167"/>
      <c r="Q26" s="167"/>
      <c r="R26" s="167"/>
      <c r="S26" s="167"/>
      <c r="T26" s="169"/>
      <c r="U26" s="167"/>
      <c r="V26" s="169"/>
      <c r="W26" s="167"/>
      <c r="X26" s="167"/>
      <c r="Y26" s="167"/>
      <c r="Z26" s="167"/>
      <c r="AA26" s="167"/>
      <c r="AB26" s="167"/>
      <c r="AC26" s="169"/>
      <c r="AD26" s="167"/>
      <c r="AE26" s="167"/>
      <c r="AF26" s="169"/>
      <c r="AG26" s="167"/>
      <c r="AH26" s="167"/>
      <c r="AI26" s="167"/>
      <c r="AJ26" s="167"/>
      <c r="AK26" s="167"/>
      <c r="AL26" s="167"/>
      <c r="AM26" s="169"/>
      <c r="AN26" s="1">
        <v>7</v>
      </c>
      <c r="AO26" s="1">
        <v>5</v>
      </c>
      <c r="AP26" s="1">
        <v>4</v>
      </c>
      <c r="AS26" s="1"/>
      <c r="AT26" s="1"/>
      <c r="AU26" s="1"/>
      <c r="AV26" s="1"/>
      <c r="AW26" s="1"/>
    </row>
    <row r="27" spans="1:49" s="1" customFormat="1" x14ac:dyDescent="0.3">
      <c r="A27" s="50" t="s">
        <v>125</v>
      </c>
      <c r="B27" s="50"/>
      <c r="C27" s="163" cm="1">
        <f t="array" ref="C27">GEOMEAN(1+M27:AM27)-1</f>
        <v>0.23386272733308133</v>
      </c>
      <c r="D27" s="163" cm="1">
        <f t="array" ref="D27">GEOMEAN(1+O27:AM27)-1</f>
        <v>0.22096465412432575</v>
      </c>
      <c r="E27" s="163" cm="1">
        <f t="array" ref="E27">GEOMEAN(1+Y27:AM27)-1</f>
        <v>0.14134078606520339</v>
      </c>
      <c r="F27" s="163" cm="1">
        <f t="array" ref="F27">GEOMEAN(1+AI27:AM27)-1</f>
        <v>0.19893014671617681</v>
      </c>
      <c r="G27" s="165"/>
      <c r="H27" s="165">
        <v>0.18622658774585063</v>
      </c>
      <c r="I27" s="165"/>
      <c r="J27" s="165">
        <f>(C27-$B$2)/H27</f>
        <v>0.51198237953727166</v>
      </c>
      <c r="K27" s="50"/>
      <c r="L27" s="50"/>
      <c r="M27" s="168">
        <v>-2.3503355992570502E-2</v>
      </c>
      <c r="N27" s="166">
        <v>1.02748090982326</v>
      </c>
      <c r="O27" s="166">
        <v>0.144137597351885</v>
      </c>
      <c r="P27" s="166">
        <v>0.33336076937794901</v>
      </c>
      <c r="Q27" s="166">
        <v>0.39668314217485801</v>
      </c>
      <c r="R27" s="166">
        <v>0.81491829144801398</v>
      </c>
      <c r="S27" s="166">
        <v>0.51821826328254805</v>
      </c>
      <c r="T27" s="166">
        <v>0.28380655647706898</v>
      </c>
      <c r="U27" s="166">
        <v>0.56921406563507004</v>
      </c>
      <c r="V27" s="166">
        <v>0.164346634789588</v>
      </c>
      <c r="W27" s="168">
        <v>-0.219381177798674</v>
      </c>
      <c r="X27" s="166">
        <v>0.88334130542170897</v>
      </c>
      <c r="Y27" s="166">
        <v>0.277901255674812</v>
      </c>
      <c r="Z27" s="166">
        <v>0.27383378867881603</v>
      </c>
      <c r="AA27" s="166">
        <v>0.277033858588008</v>
      </c>
      <c r="AB27" s="168">
        <v>-0.10228219885628401</v>
      </c>
      <c r="AC27" s="168">
        <v>-0.15483289974362199</v>
      </c>
      <c r="AD27" s="168">
        <v>-5.8443973149018801E-2</v>
      </c>
      <c r="AE27" s="166">
        <v>0.38542709934019898</v>
      </c>
      <c r="AF27" s="166">
        <v>0.215115680481404</v>
      </c>
      <c r="AG27" s="166">
        <v>0.211262174957834</v>
      </c>
      <c r="AH27" s="168">
        <v>-3.1543463592087498E-2</v>
      </c>
      <c r="AI27" s="166">
        <v>1.0696807567964799</v>
      </c>
      <c r="AJ27" s="166">
        <v>9.8271812907951797E-2</v>
      </c>
      <c r="AK27" s="168">
        <v>-0.14629787133755801</v>
      </c>
      <c r="AL27" s="166">
        <v>0.26482225749620902</v>
      </c>
      <c r="AM27" s="166">
        <v>9.3001541112378606E-3</v>
      </c>
      <c r="AS27"/>
      <c r="AT27"/>
      <c r="AU27"/>
      <c r="AV27"/>
      <c r="AW27"/>
    </row>
    <row r="28" spans="1:49" s="1" customFormat="1" x14ac:dyDescent="0.3">
      <c r="A28" s="50"/>
      <c r="B28" s="50"/>
      <c r="C28" s="163"/>
      <c r="D28" s="163"/>
      <c r="E28" s="163"/>
      <c r="F28" s="163"/>
      <c r="G28" s="165"/>
      <c r="H28" s="165"/>
      <c r="I28" s="165"/>
      <c r="J28" s="165"/>
      <c r="K28" s="50"/>
      <c r="L28" s="50"/>
      <c r="M28" s="166"/>
      <c r="N28" s="166"/>
      <c r="O28" s="166"/>
      <c r="P28" s="166"/>
      <c r="Q28" s="166"/>
      <c r="R28" s="168"/>
      <c r="S28" s="166"/>
      <c r="T28" s="168"/>
      <c r="U28" s="166"/>
      <c r="V28" s="168"/>
      <c r="W28" s="166"/>
      <c r="X28" s="166"/>
      <c r="Y28" s="166"/>
      <c r="Z28" s="166"/>
      <c r="AA28" s="166"/>
      <c r="AB28" s="166"/>
      <c r="AC28" s="168"/>
      <c r="AD28" s="168"/>
      <c r="AE28" s="166"/>
      <c r="AF28" s="168"/>
      <c r="AG28" s="166"/>
      <c r="AH28" s="166"/>
      <c r="AI28" s="166"/>
      <c r="AJ28" s="166"/>
      <c r="AK28" s="166"/>
      <c r="AL28" s="166"/>
      <c r="AM28" s="168"/>
      <c r="AO28" s="1">
        <v>7</v>
      </c>
      <c r="AP28" s="1">
        <v>7</v>
      </c>
    </row>
    <row r="29" spans="1:49" s="1" customFormat="1" x14ac:dyDescent="0.3">
      <c r="A29" s="50" t="s">
        <v>179</v>
      </c>
      <c r="B29" s="50"/>
      <c r="C29" s="163" cm="1">
        <f t="array" ref="C29">GEOMEAN(1+M29:AM29)-1</f>
        <v>0.22143202566713693</v>
      </c>
      <c r="D29" s="163" cm="1">
        <f t="array" ref="D29">GEOMEAN(1+O29:AM29)-1</f>
        <v>0.21378196666620308</v>
      </c>
      <c r="E29" s="163" cm="1">
        <f t="array" ref="E29">GEOMEAN(1+Y29:AM29)-1</f>
        <v>0.12749265565330337</v>
      </c>
      <c r="F29" s="163" cm="1">
        <f t="array" ref="F29">GEOMEAN(1+AI29:AM29)-1</f>
        <v>0.16718274675304912</v>
      </c>
      <c r="G29" s="165"/>
      <c r="H29" s="165">
        <v>0.1853215472439417</v>
      </c>
      <c r="I29" s="165"/>
      <c r="J29" s="165">
        <f>(C29-$B$2)/H29</f>
        <v>0.44740631132407749</v>
      </c>
      <c r="K29" s="50"/>
      <c r="L29" s="50"/>
      <c r="M29" s="168">
        <v>-0.10396761707857601</v>
      </c>
      <c r="N29" s="166">
        <v>0.94818615394751604</v>
      </c>
      <c r="O29" s="166">
        <v>0.16664999263080801</v>
      </c>
      <c r="P29" s="166">
        <v>0.35219680597763903</v>
      </c>
      <c r="Q29" s="166">
        <v>0.37928435318863502</v>
      </c>
      <c r="R29" s="166">
        <v>0.912005838561187</v>
      </c>
      <c r="S29" s="166">
        <v>0.49181920197125001</v>
      </c>
      <c r="T29" s="166">
        <v>0.28440420658370802</v>
      </c>
      <c r="U29" s="166">
        <v>0.51341156777664998</v>
      </c>
      <c r="V29" s="166">
        <v>0.158549061299502</v>
      </c>
      <c r="W29" s="168">
        <v>-0.17555584959544299</v>
      </c>
      <c r="X29" s="166">
        <v>0.82069438309771503</v>
      </c>
      <c r="Y29" s="166">
        <v>0.29660923332398997</v>
      </c>
      <c r="Z29" s="166">
        <v>0.301456887015283</v>
      </c>
      <c r="AA29" s="166">
        <v>0.27978552767821602</v>
      </c>
      <c r="AB29" s="168">
        <v>-0.108360276005092</v>
      </c>
      <c r="AC29" s="168">
        <v>-0.153340358115058</v>
      </c>
      <c r="AD29" s="168">
        <v>-7.3091617525337799E-2</v>
      </c>
      <c r="AE29" s="166">
        <v>0.35426839085531597</v>
      </c>
      <c r="AF29" s="166">
        <v>0.21897374056732899</v>
      </c>
      <c r="AG29" s="166">
        <v>0.172336406850672</v>
      </c>
      <c r="AH29" s="168">
        <v>-4.5119517797554597E-2</v>
      </c>
      <c r="AI29" s="166">
        <v>0.87213645895138103</v>
      </c>
      <c r="AJ29" s="166">
        <v>6.3210575659441395E-2</v>
      </c>
      <c r="AK29" s="168">
        <v>-0.13479098178645699</v>
      </c>
      <c r="AL29" s="166">
        <v>0.24206082604888199</v>
      </c>
      <c r="AM29" s="166">
        <v>1.26831995645704E-2</v>
      </c>
      <c r="AS29"/>
      <c r="AT29"/>
      <c r="AU29"/>
      <c r="AV29"/>
      <c r="AW29"/>
    </row>
    <row r="30" spans="1:49" s="1" customFormat="1" x14ac:dyDescent="0.3">
      <c r="A30" s="50"/>
      <c r="B30" s="50"/>
      <c r="C30" s="163"/>
      <c r="D30" s="163"/>
      <c r="E30" s="163"/>
      <c r="F30" s="163"/>
      <c r="G30" s="165"/>
      <c r="H30" s="165"/>
      <c r="I30" s="165"/>
      <c r="J30" s="165"/>
      <c r="K30" s="50"/>
      <c r="L30" s="50"/>
      <c r="M30" s="166"/>
      <c r="N30" s="166"/>
      <c r="O30" s="166"/>
      <c r="P30" s="166"/>
      <c r="Q30" s="166"/>
      <c r="R30" s="168"/>
      <c r="S30" s="166"/>
      <c r="T30" s="168"/>
      <c r="U30" s="166"/>
      <c r="V30" s="168"/>
      <c r="W30" s="166"/>
      <c r="X30" s="166"/>
      <c r="Y30" s="166"/>
      <c r="Z30" s="166"/>
      <c r="AA30" s="166"/>
      <c r="AB30" s="168"/>
      <c r="AC30" s="168"/>
      <c r="AD30" s="168"/>
      <c r="AE30" s="166"/>
      <c r="AF30" s="168"/>
      <c r="AG30" s="166"/>
      <c r="AH30" s="166"/>
      <c r="AI30" s="166"/>
      <c r="AJ30" s="166"/>
      <c r="AK30" s="166"/>
      <c r="AL30" s="168"/>
      <c r="AM30" s="168"/>
      <c r="AO30" s="1">
        <v>9</v>
      </c>
      <c r="AP30" s="1">
        <v>7</v>
      </c>
    </row>
    <row r="31" spans="1:49" s="1" customFormat="1" x14ac:dyDescent="0.3">
      <c r="A31" s="50" t="s">
        <v>126</v>
      </c>
      <c r="B31" s="50"/>
      <c r="C31" s="163" cm="1">
        <f t="array" ref="C31">GEOMEAN(1+M31:AM31)-1</f>
        <v>0.2523239791107228</v>
      </c>
      <c r="D31" s="163" cm="1">
        <f t="array" ref="D31">GEOMEAN(1+O31:AM31)-1</f>
        <v>0.2485824606075886</v>
      </c>
      <c r="E31" s="163" cm="1">
        <f t="array" ref="E31">GEOMEAN(1+Y31:AM31)-1</f>
        <v>0.17143139144710062</v>
      </c>
      <c r="F31" s="163" cm="1">
        <f t="array" ref="F31">GEOMEAN(1+AI31:AM31)-1</f>
        <v>0.18682620588246279</v>
      </c>
      <c r="G31" s="165"/>
      <c r="H31" s="165">
        <v>0.18373090587096469</v>
      </c>
      <c r="I31" s="165"/>
      <c r="J31" s="165">
        <f>(C31-$B$2)/H31</f>
        <v>0.61941665592611406</v>
      </c>
      <c r="K31" s="50"/>
      <c r="L31" s="50"/>
      <c r="M31" s="168">
        <v>-0.121627096267946</v>
      </c>
      <c r="N31" s="166">
        <v>0.92415974614879404</v>
      </c>
      <c r="O31" s="166">
        <v>0.283704543962575</v>
      </c>
      <c r="P31" s="166">
        <v>0.321034008271113</v>
      </c>
      <c r="Q31" s="166">
        <v>0.42535886318308802</v>
      </c>
      <c r="R31" s="166">
        <v>0.96977960522699602</v>
      </c>
      <c r="S31" s="166">
        <v>0.58263280973323595</v>
      </c>
      <c r="T31" s="166">
        <v>0.16645816096315799</v>
      </c>
      <c r="U31" s="166">
        <v>0.45847704725375199</v>
      </c>
      <c r="V31" s="166">
        <v>0.40231652790359201</v>
      </c>
      <c r="W31" s="166">
        <v>-0.31000106760483698</v>
      </c>
      <c r="X31" s="166">
        <v>0.93247349047247496</v>
      </c>
      <c r="Y31" s="166">
        <v>0.38355938334531903</v>
      </c>
      <c r="Z31" s="166">
        <v>0.22632938478742201</v>
      </c>
      <c r="AA31" s="166">
        <v>0.25392178028182799</v>
      </c>
      <c r="AB31" s="168">
        <v>-0.110580896278661</v>
      </c>
      <c r="AC31" s="168">
        <v>-4.2984892033952803E-2</v>
      </c>
      <c r="AD31" s="168">
        <v>-6.9355463692055697E-4</v>
      </c>
      <c r="AE31" s="166">
        <v>0.30046079550599802</v>
      </c>
      <c r="AF31" s="166">
        <v>0.57764746625410102</v>
      </c>
      <c r="AG31" s="166">
        <v>0.32248897068329202</v>
      </c>
      <c r="AH31" s="168">
        <v>-7.1635289022486504E-2</v>
      </c>
      <c r="AI31" s="166">
        <v>0.64990385743560197</v>
      </c>
      <c r="AJ31" s="166">
        <v>0.15372915355751199</v>
      </c>
      <c r="AK31" s="168">
        <v>-0.123636198088672</v>
      </c>
      <c r="AL31" s="166">
        <v>0.32008253143300802</v>
      </c>
      <c r="AM31" s="166">
        <v>6.92705768888182E-2</v>
      </c>
    </row>
    <row r="32" spans="1:49" x14ac:dyDescent="0.3">
      <c r="A32" s="167"/>
      <c r="B32" s="167"/>
      <c r="C32" s="167"/>
      <c r="D32" s="167"/>
      <c r="E32" s="167"/>
      <c r="F32" s="167"/>
      <c r="G32" s="167"/>
      <c r="H32" s="167"/>
      <c r="I32" s="167"/>
      <c r="J32" s="167"/>
      <c r="K32" s="167"/>
      <c r="L32" s="167"/>
      <c r="M32" s="169"/>
      <c r="N32" s="167"/>
      <c r="O32" s="167"/>
      <c r="P32" s="167"/>
      <c r="Q32" s="167"/>
      <c r="R32" s="167"/>
      <c r="S32" s="167"/>
      <c r="T32" s="169"/>
      <c r="U32" s="167"/>
      <c r="V32" s="167"/>
      <c r="W32" s="167"/>
      <c r="X32" s="167"/>
      <c r="Y32" s="167"/>
      <c r="Z32" s="167"/>
      <c r="AA32" s="167"/>
      <c r="AB32" s="169"/>
      <c r="AC32" s="169"/>
      <c r="AD32" s="167"/>
      <c r="AE32" s="167"/>
      <c r="AF32" s="167"/>
      <c r="AG32" s="167"/>
      <c r="AH32" s="167"/>
      <c r="AI32" s="167"/>
      <c r="AJ32" s="167"/>
      <c r="AK32" s="167"/>
      <c r="AL32" s="167"/>
      <c r="AM32" s="167"/>
      <c r="AO32" s="1">
        <v>4</v>
      </c>
      <c r="AP32" s="1">
        <v>6</v>
      </c>
      <c r="AS32" s="1"/>
      <c r="AT32" s="1"/>
      <c r="AU32" s="1"/>
      <c r="AV32" s="1"/>
      <c r="AW32" s="1"/>
    </row>
    <row r="33" spans="45:49" x14ac:dyDescent="0.3">
      <c r="AS33" s="1"/>
      <c r="AT33" s="1"/>
      <c r="AU33" s="1"/>
      <c r="AV33" s="1"/>
      <c r="AW33" s="1"/>
    </row>
    <row r="34" spans="45:49" x14ac:dyDescent="0.3">
      <c r="AS34" s="1"/>
      <c r="AT34" s="1"/>
      <c r="AU34" s="1"/>
      <c r="AV34" s="1"/>
      <c r="AW34" s="1"/>
    </row>
  </sheetData>
  <conditionalFormatting sqref="K9:AM9">
    <cfRule type="expression" dxfId="1" priority="2">
      <formula>K9 &lt; 0</formula>
    </cfRule>
  </conditionalFormatting>
  <conditionalFormatting sqref="K10:AM10">
    <cfRule type="expression" dxfId="0" priority="4">
      <formula>K9 &lt; K$3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91219-55D4-4BFF-9068-D241390859B0}">
  <sheetPr codeName="Planilha2"/>
  <dimension ref="B1:N69"/>
  <sheetViews>
    <sheetView topLeftCell="A27" workbookViewId="0">
      <selection activeCell="G12" sqref="G12"/>
    </sheetView>
  </sheetViews>
  <sheetFormatPr defaultRowHeight="14.4" x14ac:dyDescent="0.3"/>
  <cols>
    <col min="1" max="1" width="8.88671875" style="1"/>
    <col min="2" max="2" width="20.77734375" style="1" bestFit="1" customWidth="1"/>
    <col min="3" max="13" width="16.33203125" style="1" customWidth="1"/>
    <col min="14" max="16384" width="8.88671875" style="1"/>
  </cols>
  <sheetData>
    <row r="1" spans="2:13" ht="15" thickBot="1" x14ac:dyDescent="0.35"/>
    <row r="2" spans="2:13" ht="15" thickBot="1" x14ac:dyDescent="0.35">
      <c r="B2" s="59" t="s">
        <v>162</v>
      </c>
      <c r="C2" s="60" t="s">
        <v>142</v>
      </c>
      <c r="D2" s="61" t="s">
        <v>143</v>
      </c>
      <c r="E2" s="61" t="s">
        <v>144</v>
      </c>
      <c r="F2" s="127" t="s">
        <v>145</v>
      </c>
      <c r="G2" s="59" t="s">
        <v>146</v>
      </c>
      <c r="H2" s="2"/>
      <c r="I2" s="60" t="s">
        <v>132</v>
      </c>
      <c r="J2" s="60" t="s">
        <v>133</v>
      </c>
      <c r="K2" s="60" t="s">
        <v>134</v>
      </c>
      <c r="L2" s="60" t="s">
        <v>135</v>
      </c>
      <c r="M2" s="59" t="s">
        <v>136</v>
      </c>
    </row>
    <row r="3" spans="2:13" x14ac:dyDescent="0.3">
      <c r="B3" s="63" t="s">
        <v>163</v>
      </c>
      <c r="C3" s="64">
        <v>5</v>
      </c>
      <c r="D3" s="65">
        <v>2</v>
      </c>
      <c r="E3" s="65">
        <v>4</v>
      </c>
      <c r="F3" s="65">
        <v>3</v>
      </c>
      <c r="G3" s="66">
        <v>1</v>
      </c>
      <c r="I3" s="64">
        <v>1</v>
      </c>
      <c r="J3" s="65">
        <v>2</v>
      </c>
      <c r="K3" s="65">
        <v>3</v>
      </c>
      <c r="L3" s="65">
        <v>4</v>
      </c>
      <c r="M3" s="66">
        <v>5</v>
      </c>
    </row>
    <row r="4" spans="2:13" x14ac:dyDescent="0.3">
      <c r="B4" s="53" t="s">
        <v>164</v>
      </c>
      <c r="C4" s="51">
        <v>1</v>
      </c>
      <c r="D4" s="50">
        <v>4</v>
      </c>
      <c r="E4" s="50">
        <v>3</v>
      </c>
      <c r="F4" s="50">
        <v>5</v>
      </c>
      <c r="G4" s="52">
        <v>2</v>
      </c>
      <c r="I4" s="51">
        <v>1</v>
      </c>
      <c r="J4" s="50">
        <v>2</v>
      </c>
      <c r="K4" s="50">
        <v>3</v>
      </c>
      <c r="L4" s="50">
        <v>4</v>
      </c>
      <c r="M4" s="52">
        <v>5</v>
      </c>
    </row>
    <row r="5" spans="2:13" x14ac:dyDescent="0.3">
      <c r="B5" s="53" t="s">
        <v>165</v>
      </c>
      <c r="C5" s="51">
        <v>5</v>
      </c>
      <c r="D5" s="50">
        <v>4</v>
      </c>
      <c r="E5" s="50">
        <v>3</v>
      </c>
      <c r="F5" s="50">
        <v>1</v>
      </c>
      <c r="G5" s="52">
        <v>2</v>
      </c>
      <c r="I5" s="51">
        <v>1</v>
      </c>
      <c r="J5" s="50">
        <v>2</v>
      </c>
      <c r="K5" s="50">
        <v>3</v>
      </c>
      <c r="L5" s="50">
        <v>4</v>
      </c>
      <c r="M5" s="52">
        <v>5</v>
      </c>
    </row>
    <row r="6" spans="2:13" x14ac:dyDescent="0.3">
      <c r="B6" s="53" t="s">
        <v>166</v>
      </c>
      <c r="C6" s="51">
        <v>5</v>
      </c>
      <c r="D6" s="50">
        <v>3</v>
      </c>
      <c r="E6" s="50">
        <v>4</v>
      </c>
      <c r="F6" s="50">
        <v>2</v>
      </c>
      <c r="G6" s="52">
        <v>1</v>
      </c>
      <c r="I6" s="51">
        <v>1</v>
      </c>
      <c r="J6" s="50">
        <v>2</v>
      </c>
      <c r="K6" s="50">
        <v>4</v>
      </c>
      <c r="L6" s="50">
        <v>3</v>
      </c>
      <c r="M6" s="52">
        <v>5</v>
      </c>
    </row>
    <row r="7" spans="2:13" x14ac:dyDescent="0.3">
      <c r="B7" s="53" t="s">
        <v>167</v>
      </c>
      <c r="C7" s="51">
        <v>5</v>
      </c>
      <c r="D7" s="50">
        <v>2</v>
      </c>
      <c r="E7" s="50">
        <v>3</v>
      </c>
      <c r="F7" s="50">
        <v>4</v>
      </c>
      <c r="G7" s="52">
        <v>1</v>
      </c>
      <c r="I7" s="51">
        <v>2</v>
      </c>
      <c r="J7" s="50">
        <v>1</v>
      </c>
      <c r="K7" s="50">
        <v>3</v>
      </c>
      <c r="L7" s="50">
        <v>4</v>
      </c>
      <c r="M7" s="52">
        <v>5</v>
      </c>
    </row>
    <row r="8" spans="2:13" x14ac:dyDescent="0.3">
      <c r="B8" s="53" t="s">
        <v>168</v>
      </c>
      <c r="C8" s="51">
        <v>5</v>
      </c>
      <c r="D8" s="50">
        <v>4</v>
      </c>
      <c r="E8" s="50">
        <v>3</v>
      </c>
      <c r="F8" s="50">
        <v>1</v>
      </c>
      <c r="G8" s="52">
        <v>2</v>
      </c>
      <c r="I8" s="51">
        <v>1</v>
      </c>
      <c r="J8" s="50">
        <v>2</v>
      </c>
      <c r="K8" s="50">
        <v>3</v>
      </c>
      <c r="L8" s="50">
        <v>4</v>
      </c>
      <c r="M8" s="52">
        <v>5</v>
      </c>
    </row>
    <row r="9" spans="2:13" x14ac:dyDescent="0.3">
      <c r="B9" s="53" t="s">
        <v>169</v>
      </c>
      <c r="C9" s="51">
        <v>4</v>
      </c>
      <c r="D9" s="50">
        <v>5</v>
      </c>
      <c r="E9" s="50">
        <v>3</v>
      </c>
      <c r="F9" s="50">
        <v>2</v>
      </c>
      <c r="G9" s="52">
        <v>1</v>
      </c>
      <c r="I9" s="51">
        <v>1</v>
      </c>
      <c r="J9" s="50">
        <v>2</v>
      </c>
      <c r="K9" s="50">
        <v>3</v>
      </c>
      <c r="L9" s="50">
        <v>4</v>
      </c>
      <c r="M9" s="52">
        <v>5</v>
      </c>
    </row>
    <row r="10" spans="2:13" x14ac:dyDescent="0.3">
      <c r="B10" s="53" t="s">
        <v>170</v>
      </c>
      <c r="C10" s="51">
        <v>5</v>
      </c>
      <c r="D10" s="50">
        <v>4</v>
      </c>
      <c r="E10" s="50">
        <v>3</v>
      </c>
      <c r="F10" s="50">
        <v>2</v>
      </c>
      <c r="G10" s="52">
        <v>1</v>
      </c>
      <c r="I10" s="51">
        <v>2</v>
      </c>
      <c r="J10" s="50">
        <v>1</v>
      </c>
      <c r="K10" s="50">
        <v>3</v>
      </c>
      <c r="L10" s="50">
        <v>4</v>
      </c>
      <c r="M10" s="52">
        <v>5</v>
      </c>
    </row>
    <row r="11" spans="2:13" x14ac:dyDescent="0.3">
      <c r="B11" s="53" t="s">
        <v>171</v>
      </c>
      <c r="C11" s="51">
        <v>5</v>
      </c>
      <c r="D11" s="50">
        <v>2</v>
      </c>
      <c r="E11" s="50">
        <v>4</v>
      </c>
      <c r="F11" s="50">
        <v>1</v>
      </c>
      <c r="G11" s="52">
        <v>3</v>
      </c>
      <c r="I11" s="51">
        <v>1</v>
      </c>
      <c r="J11" s="50">
        <v>2</v>
      </c>
      <c r="K11" s="50">
        <v>3</v>
      </c>
      <c r="L11" s="50">
        <v>4</v>
      </c>
      <c r="M11" s="52">
        <v>5</v>
      </c>
    </row>
    <row r="12" spans="2:13" x14ac:dyDescent="0.3">
      <c r="B12" s="53" t="s">
        <v>172</v>
      </c>
      <c r="C12" s="51">
        <v>5</v>
      </c>
      <c r="D12" s="50">
        <v>1</v>
      </c>
      <c r="E12" s="50">
        <v>4</v>
      </c>
      <c r="F12" s="50">
        <v>3</v>
      </c>
      <c r="G12" s="52">
        <v>2</v>
      </c>
      <c r="I12" s="51">
        <v>1</v>
      </c>
      <c r="J12" s="50">
        <v>2</v>
      </c>
      <c r="K12" s="50">
        <v>3</v>
      </c>
      <c r="L12" s="50">
        <v>4</v>
      </c>
      <c r="M12" s="52">
        <v>5</v>
      </c>
    </row>
    <row r="13" spans="2:13" ht="15" thickBot="1" x14ac:dyDescent="0.35">
      <c r="B13" s="55" t="s">
        <v>173</v>
      </c>
      <c r="C13" s="56">
        <v>5</v>
      </c>
      <c r="D13" s="57">
        <v>4</v>
      </c>
      <c r="E13" s="57">
        <v>3</v>
      </c>
      <c r="F13" s="57">
        <v>2</v>
      </c>
      <c r="G13" s="58">
        <v>1</v>
      </c>
      <c r="I13" s="56">
        <v>1</v>
      </c>
      <c r="J13" s="57">
        <v>2</v>
      </c>
      <c r="K13" s="57">
        <v>3</v>
      </c>
      <c r="L13" s="57">
        <v>4</v>
      </c>
      <c r="M13" s="58">
        <v>5</v>
      </c>
    </row>
    <row r="14" spans="2:13" ht="15" thickBot="1" x14ac:dyDescent="0.35">
      <c r="B14" s="59" t="s">
        <v>113</v>
      </c>
      <c r="C14" s="60">
        <f>SUM(C3:C13)</f>
        <v>50</v>
      </c>
      <c r="D14" s="61">
        <f t="shared" ref="D14:M14" si="0">SUM(D3:D13)</f>
        <v>35</v>
      </c>
      <c r="E14" s="61">
        <f t="shared" si="0"/>
        <v>37</v>
      </c>
      <c r="F14" s="61">
        <f t="shared" si="0"/>
        <v>26</v>
      </c>
      <c r="G14" s="62">
        <f t="shared" si="0"/>
        <v>17</v>
      </c>
      <c r="H14" s="2"/>
      <c r="I14" s="60">
        <f t="shared" si="0"/>
        <v>13</v>
      </c>
      <c r="J14" s="61">
        <f t="shared" si="0"/>
        <v>20</v>
      </c>
      <c r="K14" s="61">
        <f t="shared" si="0"/>
        <v>34</v>
      </c>
      <c r="L14" s="61">
        <f t="shared" si="0"/>
        <v>43</v>
      </c>
      <c r="M14" s="62">
        <f t="shared" si="0"/>
        <v>55</v>
      </c>
    </row>
    <row r="15" spans="2:13" ht="15" thickBot="1" x14ac:dyDescent="0.35">
      <c r="B15" s="59" t="s">
        <v>137</v>
      </c>
      <c r="C15" s="60">
        <v>5</v>
      </c>
      <c r="D15" s="61">
        <v>3</v>
      </c>
      <c r="E15" s="61">
        <v>4</v>
      </c>
      <c r="F15" s="61">
        <v>2</v>
      </c>
      <c r="G15" s="62">
        <v>1</v>
      </c>
      <c r="H15" s="2"/>
      <c r="I15" s="60">
        <v>1</v>
      </c>
      <c r="J15" s="61">
        <v>2</v>
      </c>
      <c r="K15" s="61">
        <v>3</v>
      </c>
      <c r="L15" s="61">
        <v>4</v>
      </c>
      <c r="M15" s="62">
        <v>5</v>
      </c>
    </row>
    <row r="16" spans="2:13" ht="15" thickBot="1" x14ac:dyDescent="0.3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2:14" ht="15" thickBot="1" x14ac:dyDescent="0.35">
      <c r="B17" s="59" t="s">
        <v>162</v>
      </c>
      <c r="C17" s="60" t="s">
        <v>132</v>
      </c>
      <c r="D17" s="60" t="s">
        <v>133</v>
      </c>
      <c r="E17" s="60" t="s">
        <v>134</v>
      </c>
      <c r="F17" s="60" t="s">
        <v>135</v>
      </c>
      <c r="G17" s="59" t="s">
        <v>136</v>
      </c>
      <c r="H17" s="2"/>
      <c r="I17" s="2"/>
      <c r="J17" s="2"/>
      <c r="K17" s="2"/>
      <c r="L17" s="2"/>
      <c r="M17" s="2"/>
      <c r="N17" s="2"/>
    </row>
    <row r="18" spans="2:14" x14ac:dyDescent="0.3">
      <c r="B18" s="63" t="s">
        <v>163</v>
      </c>
      <c r="C18" s="64">
        <v>1</v>
      </c>
      <c r="D18" s="65">
        <v>2</v>
      </c>
      <c r="E18" s="65">
        <v>3</v>
      </c>
      <c r="F18" s="65">
        <v>4</v>
      </c>
      <c r="G18" s="66">
        <v>5</v>
      </c>
      <c r="I18" s="2"/>
      <c r="J18" s="2"/>
      <c r="K18" s="2"/>
      <c r="L18" s="2"/>
      <c r="M18" s="2"/>
      <c r="N18" s="2"/>
    </row>
    <row r="19" spans="2:14" x14ac:dyDescent="0.3">
      <c r="B19" s="53" t="s">
        <v>164</v>
      </c>
      <c r="C19" s="51">
        <v>1</v>
      </c>
      <c r="D19" s="50">
        <v>2</v>
      </c>
      <c r="E19" s="50">
        <v>3</v>
      </c>
      <c r="F19" s="50">
        <v>4</v>
      </c>
      <c r="G19" s="52">
        <v>5</v>
      </c>
      <c r="I19" s="2"/>
      <c r="J19" s="2"/>
      <c r="K19" s="2"/>
      <c r="L19" s="2"/>
      <c r="M19" s="2"/>
      <c r="N19" s="2"/>
    </row>
    <row r="20" spans="2:14" x14ac:dyDescent="0.3">
      <c r="B20" s="53" t="s">
        <v>165</v>
      </c>
      <c r="C20" s="51">
        <v>1</v>
      </c>
      <c r="D20" s="50">
        <v>2</v>
      </c>
      <c r="E20" s="50">
        <v>3</v>
      </c>
      <c r="F20" s="50">
        <v>4</v>
      </c>
      <c r="G20" s="52">
        <v>5</v>
      </c>
      <c r="I20" s="2"/>
      <c r="J20" s="2"/>
      <c r="K20" s="2"/>
      <c r="L20" s="2"/>
      <c r="M20" s="2"/>
      <c r="N20" s="2"/>
    </row>
    <row r="21" spans="2:14" x14ac:dyDescent="0.3">
      <c r="B21" s="53" t="s">
        <v>166</v>
      </c>
      <c r="C21" s="51">
        <v>1</v>
      </c>
      <c r="D21" s="50">
        <v>2</v>
      </c>
      <c r="E21" s="129">
        <v>4</v>
      </c>
      <c r="F21" s="129">
        <v>3</v>
      </c>
      <c r="G21" s="52">
        <v>5</v>
      </c>
      <c r="I21" s="2"/>
      <c r="J21" s="2"/>
      <c r="K21" s="2"/>
      <c r="L21" s="2"/>
      <c r="M21" s="2"/>
      <c r="N21" s="2"/>
    </row>
    <row r="22" spans="2:14" x14ac:dyDescent="0.3">
      <c r="B22" s="53" t="s">
        <v>167</v>
      </c>
      <c r="C22" s="128">
        <v>2</v>
      </c>
      <c r="D22" s="129">
        <v>1</v>
      </c>
      <c r="E22" s="50">
        <v>3</v>
      </c>
      <c r="F22" s="50">
        <v>4</v>
      </c>
      <c r="G22" s="52">
        <v>5</v>
      </c>
      <c r="I22" s="2"/>
      <c r="J22" s="2"/>
      <c r="K22" s="2"/>
      <c r="L22" s="2"/>
      <c r="M22" s="2"/>
      <c r="N22" s="2"/>
    </row>
    <row r="23" spans="2:14" x14ac:dyDescent="0.3">
      <c r="B23" s="53" t="s">
        <v>168</v>
      </c>
      <c r="C23" s="51">
        <v>1</v>
      </c>
      <c r="D23" s="50">
        <v>2</v>
      </c>
      <c r="E23" s="50">
        <v>3</v>
      </c>
      <c r="F23" s="50">
        <v>4</v>
      </c>
      <c r="G23" s="52">
        <v>5</v>
      </c>
      <c r="I23" s="2"/>
      <c r="J23" s="2"/>
      <c r="K23" s="2"/>
      <c r="L23" s="2"/>
      <c r="M23" s="2"/>
      <c r="N23" s="2"/>
    </row>
    <row r="24" spans="2:14" x14ac:dyDescent="0.3">
      <c r="B24" s="53" t="s">
        <v>169</v>
      </c>
      <c r="C24" s="51">
        <v>1</v>
      </c>
      <c r="D24" s="50">
        <v>2</v>
      </c>
      <c r="E24" s="50">
        <v>3</v>
      </c>
      <c r="F24" s="50">
        <v>4</v>
      </c>
      <c r="G24" s="52">
        <v>5</v>
      </c>
      <c r="I24" s="2"/>
      <c r="J24" s="2"/>
      <c r="K24" s="2"/>
      <c r="L24" s="2"/>
      <c r="M24" s="2"/>
      <c r="N24" s="2"/>
    </row>
    <row r="25" spans="2:14" x14ac:dyDescent="0.3">
      <c r="B25" s="53" t="s">
        <v>170</v>
      </c>
      <c r="C25" s="128">
        <v>2</v>
      </c>
      <c r="D25" s="129">
        <v>1</v>
      </c>
      <c r="E25" s="50">
        <v>3</v>
      </c>
      <c r="F25" s="50">
        <v>4</v>
      </c>
      <c r="G25" s="52">
        <v>5</v>
      </c>
      <c r="I25" s="2"/>
      <c r="J25" s="2"/>
      <c r="K25" s="2"/>
      <c r="L25" s="2"/>
      <c r="M25" s="2"/>
      <c r="N25" s="2"/>
    </row>
    <row r="26" spans="2:14" x14ac:dyDescent="0.3">
      <c r="B26" s="53" t="s">
        <v>171</v>
      </c>
      <c r="C26" s="51">
        <v>1</v>
      </c>
      <c r="D26" s="50">
        <v>2</v>
      </c>
      <c r="E26" s="50">
        <v>3</v>
      </c>
      <c r="F26" s="50">
        <v>4</v>
      </c>
      <c r="G26" s="52">
        <v>5</v>
      </c>
      <c r="I26" s="2"/>
      <c r="J26" s="2"/>
      <c r="K26" s="2"/>
      <c r="L26" s="2"/>
      <c r="M26" s="2"/>
      <c r="N26" s="2"/>
    </row>
    <row r="27" spans="2:14" x14ac:dyDescent="0.3">
      <c r="B27" s="53" t="s">
        <v>172</v>
      </c>
      <c r="C27" s="51">
        <v>1</v>
      </c>
      <c r="D27" s="50">
        <v>2</v>
      </c>
      <c r="E27" s="50">
        <v>3</v>
      </c>
      <c r="F27" s="50">
        <v>4</v>
      </c>
      <c r="G27" s="52">
        <v>5</v>
      </c>
      <c r="I27" s="2"/>
      <c r="J27" s="2"/>
      <c r="K27" s="2"/>
      <c r="L27" s="2"/>
      <c r="M27" s="2"/>
      <c r="N27" s="2"/>
    </row>
    <row r="28" spans="2:14" ht="15" thickBot="1" x14ac:dyDescent="0.35">
      <c r="B28" s="55" t="s">
        <v>173</v>
      </c>
      <c r="C28" s="56">
        <v>1</v>
      </c>
      <c r="D28" s="57">
        <v>2</v>
      </c>
      <c r="E28" s="57">
        <v>3</v>
      </c>
      <c r="F28" s="57">
        <v>4</v>
      </c>
      <c r="G28" s="58">
        <v>5</v>
      </c>
      <c r="I28" s="2"/>
      <c r="J28" s="2"/>
      <c r="K28" s="2"/>
      <c r="L28" s="2"/>
      <c r="M28" s="2"/>
      <c r="N28" s="2"/>
    </row>
    <row r="29" spans="2:14" ht="15" thickBot="1" x14ac:dyDescent="0.35">
      <c r="B29" s="59" t="s">
        <v>113</v>
      </c>
      <c r="C29" s="60">
        <f t="shared" ref="C29:G29" si="1">SUM(C18:C28)</f>
        <v>13</v>
      </c>
      <c r="D29" s="61">
        <f t="shared" si="1"/>
        <v>20</v>
      </c>
      <c r="E29" s="61">
        <f t="shared" si="1"/>
        <v>34</v>
      </c>
      <c r="F29" s="61">
        <f t="shared" si="1"/>
        <v>43</v>
      </c>
      <c r="G29" s="62">
        <f t="shared" si="1"/>
        <v>55</v>
      </c>
      <c r="H29" s="2"/>
      <c r="I29" s="2"/>
      <c r="J29" s="2"/>
      <c r="K29" s="2"/>
      <c r="L29" s="2"/>
      <c r="M29" s="2"/>
      <c r="N29" s="2"/>
    </row>
    <row r="30" spans="2:14" ht="15" thickBot="1" x14ac:dyDescent="0.35">
      <c r="B30" s="59" t="s">
        <v>137</v>
      </c>
      <c r="C30" s="60">
        <v>1</v>
      </c>
      <c r="D30" s="61">
        <v>2</v>
      </c>
      <c r="E30" s="61">
        <v>3</v>
      </c>
      <c r="F30" s="61">
        <v>4</v>
      </c>
      <c r="G30" s="62">
        <v>5</v>
      </c>
      <c r="H30" s="2"/>
      <c r="I30" s="2"/>
      <c r="J30" s="2"/>
      <c r="K30" s="2"/>
      <c r="L30" s="2"/>
      <c r="M30" s="2"/>
      <c r="N30" s="2"/>
    </row>
    <row r="31" spans="2:14" ht="15" thickBot="1" x14ac:dyDescent="0.3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2:14" ht="15" thickBot="1" x14ac:dyDescent="0.35">
      <c r="B32" s="172" t="s">
        <v>174</v>
      </c>
      <c r="C32" s="173"/>
      <c r="D32" s="130"/>
      <c r="E32" s="2"/>
      <c r="F32" s="2"/>
      <c r="G32" s="2"/>
      <c r="H32" s="2"/>
      <c r="I32" s="2"/>
      <c r="J32" s="2"/>
      <c r="K32" s="2"/>
      <c r="L32" s="2"/>
      <c r="M32" s="2"/>
    </row>
    <row r="33" spans="2:13" x14ac:dyDescent="0.3">
      <c r="B33" s="64" t="s">
        <v>164</v>
      </c>
      <c r="C33" s="66">
        <v>0.73209999999999997</v>
      </c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2:13" x14ac:dyDescent="0.3">
      <c r="B34" s="51" t="s">
        <v>166</v>
      </c>
      <c r="C34" s="52">
        <v>0.72889999999999999</v>
      </c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2:13" x14ac:dyDescent="0.3">
      <c r="B35" s="51" t="s">
        <v>165</v>
      </c>
      <c r="C35" s="52">
        <v>0.63019999999999998</v>
      </c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2:13" x14ac:dyDescent="0.3">
      <c r="B36" s="51" t="s">
        <v>163</v>
      </c>
      <c r="C36" s="52">
        <v>0.53010000000000002</v>
      </c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2:13" ht="15" thickBot="1" x14ac:dyDescent="0.35">
      <c r="B37" s="85" t="s">
        <v>167</v>
      </c>
      <c r="C37" s="131">
        <v>0.5262</v>
      </c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2:13" ht="15" thickBot="1" x14ac:dyDescent="0.3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2:13" ht="15" thickBot="1" x14ac:dyDescent="0.35">
      <c r="B39" s="174" t="s">
        <v>174</v>
      </c>
      <c r="C39" s="175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2:13" x14ac:dyDescent="0.3">
      <c r="B40" s="84" t="s">
        <v>164</v>
      </c>
      <c r="C40" s="132">
        <v>0.73209999999999997</v>
      </c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2:13" x14ac:dyDescent="0.3">
      <c r="B41" s="51" t="s">
        <v>166</v>
      </c>
      <c r="C41" s="52">
        <v>0.72889999999999999</v>
      </c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2:13" x14ac:dyDescent="0.3">
      <c r="B42" s="51" t="s">
        <v>172</v>
      </c>
      <c r="C42" s="52">
        <v>0.72019999999999995</v>
      </c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2:13" x14ac:dyDescent="0.3">
      <c r="B43" s="51" t="s">
        <v>171</v>
      </c>
      <c r="C43" s="52">
        <v>0.71419999999999995</v>
      </c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2:13" x14ac:dyDescent="0.3">
      <c r="B44" s="51" t="s">
        <v>173</v>
      </c>
      <c r="C44" s="52">
        <v>0.69589999999999996</v>
      </c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2:13" x14ac:dyDescent="0.3">
      <c r="B45" s="51" t="s">
        <v>165</v>
      </c>
      <c r="C45" s="52">
        <v>0.63019999999999998</v>
      </c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2:13" x14ac:dyDescent="0.3">
      <c r="B46" s="51" t="s">
        <v>163</v>
      </c>
      <c r="C46" s="52">
        <v>0.53010000000000002</v>
      </c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2:13" x14ac:dyDescent="0.3">
      <c r="B47" s="51" t="s">
        <v>167</v>
      </c>
      <c r="C47" s="52">
        <v>0.5262</v>
      </c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2:13" x14ac:dyDescent="0.3">
      <c r="B48" s="51" t="s">
        <v>169</v>
      </c>
      <c r="C48" s="52">
        <v>0.46139999999999998</v>
      </c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2:13" x14ac:dyDescent="0.3">
      <c r="B49" s="51" t="s">
        <v>168</v>
      </c>
      <c r="C49" s="52">
        <v>0.44280000000000003</v>
      </c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2:13" ht="15" thickBot="1" x14ac:dyDescent="0.35">
      <c r="B50" s="85" t="s">
        <v>170</v>
      </c>
      <c r="C50" s="131">
        <v>0.4103</v>
      </c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2:13" x14ac:dyDescent="0.3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2:13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2:13" x14ac:dyDescent="0.3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2:13" x14ac:dyDescent="0.3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2:13" x14ac:dyDescent="0.3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2:13" x14ac:dyDescent="0.3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8" spans="2:13" x14ac:dyDescent="0.3">
      <c r="B58" s="50" t="s">
        <v>114</v>
      </c>
      <c r="C58" s="50" t="s">
        <v>115</v>
      </c>
      <c r="D58" s="50" t="s">
        <v>116</v>
      </c>
      <c r="E58" s="50" t="s">
        <v>117</v>
      </c>
      <c r="F58" s="50" t="s">
        <v>118</v>
      </c>
      <c r="G58" s="50" t="s">
        <v>119</v>
      </c>
    </row>
    <row r="59" spans="2:13" x14ac:dyDescent="0.3">
      <c r="B59" s="50">
        <v>1</v>
      </c>
      <c r="C59" s="67">
        <f>AVERAGE(retornos!I5:I9)</f>
        <v>0.40017806707114884</v>
      </c>
      <c r="D59" s="67">
        <f>(retornos!I9+retornos!I6+retornos!I8)/3</f>
        <v>0.43275163412694923</v>
      </c>
      <c r="E59" s="50">
        <v>11</v>
      </c>
      <c r="F59" s="50">
        <v>11</v>
      </c>
      <c r="G59" s="50">
        <f>SUM(E59:F59)</f>
        <v>22</v>
      </c>
    </row>
    <row r="60" spans="2:13" x14ac:dyDescent="0.3">
      <c r="B60" s="50">
        <v>2</v>
      </c>
      <c r="C60" s="67">
        <f>AVERAGE(retornos!I15:I19)</f>
        <v>0.66149124919160762</v>
      </c>
      <c r="D60" s="67">
        <f>(retornos!I15+retornos!I19+retornos!I17)/3</f>
        <v>0.6707244724084882</v>
      </c>
      <c r="E60" s="50">
        <v>4</v>
      </c>
      <c r="F60" s="50">
        <v>4</v>
      </c>
      <c r="G60" s="50">
        <f t="shared" ref="G60:G69" si="2">SUM(E60:F60)</f>
        <v>8</v>
      </c>
    </row>
    <row r="61" spans="2:13" x14ac:dyDescent="0.3">
      <c r="B61" s="50">
        <v>3</v>
      </c>
      <c r="C61" s="67">
        <f>AVERAGE(retornos!I25:I29)</f>
        <v>0.51736324055328375</v>
      </c>
      <c r="D61" s="67">
        <f>(retornos!I28+retornos!I29+retornos!I27)/3</f>
        <v>0.59411296593280138</v>
      </c>
      <c r="E61" s="50">
        <v>7</v>
      </c>
      <c r="F61" s="50">
        <v>6</v>
      </c>
      <c r="G61" s="50">
        <f t="shared" si="2"/>
        <v>13</v>
      </c>
    </row>
    <row r="62" spans="2:13" x14ac:dyDescent="0.3">
      <c r="B62" s="50">
        <v>4</v>
      </c>
      <c r="C62" s="54">
        <f>AVERAGE(retornos!I35:I39)</f>
        <v>0.69162368692000575</v>
      </c>
      <c r="D62" s="54">
        <f>(retornos!I39+retornos!I38+retornos!I36)/3</f>
        <v>0.70934401686622905</v>
      </c>
      <c r="E62" s="50">
        <v>2</v>
      </c>
      <c r="F62" s="50">
        <v>3</v>
      </c>
      <c r="G62" s="50">
        <f t="shared" si="2"/>
        <v>5</v>
      </c>
    </row>
    <row r="63" spans="2:13" x14ac:dyDescent="0.3">
      <c r="B63" s="50">
        <v>5</v>
      </c>
      <c r="C63" s="67">
        <f>AVERAGE(retornos!I45:I49)</f>
        <v>0.5207849276286648</v>
      </c>
      <c r="D63" s="67">
        <f>(retornos!I49+retornos!I46+retornos!I47)/3</f>
        <v>0.5446901258956327</v>
      </c>
      <c r="E63" s="50">
        <v>6</v>
      </c>
      <c r="F63" s="50">
        <v>7</v>
      </c>
      <c r="G63" s="50">
        <f t="shared" si="2"/>
        <v>13</v>
      </c>
    </row>
    <row r="64" spans="2:13" x14ac:dyDescent="0.3">
      <c r="B64" s="50">
        <v>6</v>
      </c>
      <c r="C64" s="67">
        <f>AVERAGE(retornos!I55:I59)</f>
        <v>0.43035733989257008</v>
      </c>
      <c r="D64" s="67">
        <f>(retornos!I57+retornos!I58+retornos!I59)/3</f>
        <v>0.46553211205252049</v>
      </c>
      <c r="E64" s="50">
        <v>10</v>
      </c>
      <c r="F64" s="50">
        <v>10</v>
      </c>
      <c r="G64" s="50">
        <f t="shared" si="2"/>
        <v>20</v>
      </c>
    </row>
    <row r="65" spans="2:7" x14ac:dyDescent="0.3">
      <c r="B65" s="50">
        <v>7</v>
      </c>
      <c r="C65" s="67">
        <f>AVERAGE(retornos!I65:I69)</f>
        <v>0.45692984703084694</v>
      </c>
      <c r="D65" s="67">
        <f>(retornos!I69+retornos!I68+retornos!I67)/3</f>
        <v>0.52345744857040744</v>
      </c>
      <c r="E65" s="50">
        <v>8</v>
      </c>
      <c r="F65" s="50">
        <v>8</v>
      </c>
      <c r="G65" s="50">
        <f t="shared" si="2"/>
        <v>16</v>
      </c>
    </row>
    <row r="66" spans="2:7" x14ac:dyDescent="0.3">
      <c r="B66" s="50">
        <v>8</v>
      </c>
      <c r="C66" s="67">
        <f>AVERAGE(retornos!I75:I79)</f>
        <v>0.44929701778165654</v>
      </c>
      <c r="D66" s="67">
        <f>(retornos!I79+retornos!I78+retornos!I77)/3</f>
        <v>0.50154630745498785</v>
      </c>
      <c r="E66" s="50">
        <v>9</v>
      </c>
      <c r="F66" s="50">
        <v>9</v>
      </c>
      <c r="G66" s="50">
        <f t="shared" si="2"/>
        <v>18</v>
      </c>
    </row>
    <row r="67" spans="2:7" x14ac:dyDescent="0.3">
      <c r="B67" s="50">
        <v>9</v>
      </c>
      <c r="C67" s="54">
        <f>AVERAGE(retornos!I85:I89)</f>
        <v>0.73085365278984449</v>
      </c>
      <c r="D67" s="54">
        <f>(retornos!I89+retornos!I88+retornos!I86)/3</f>
        <v>0.76986992270869692</v>
      </c>
      <c r="E67" s="50">
        <v>1</v>
      </c>
      <c r="F67" s="50">
        <v>1</v>
      </c>
      <c r="G67" s="50">
        <f t="shared" si="2"/>
        <v>2</v>
      </c>
    </row>
    <row r="68" spans="2:7" x14ac:dyDescent="0.3">
      <c r="B68" s="50">
        <v>10</v>
      </c>
      <c r="C68" s="54">
        <f>AVERAGE(retornos!I95:I99)</f>
        <v>0.68169957621548294</v>
      </c>
      <c r="D68" s="54">
        <f>(retornos!I99+retornos!I98+retornos!I96)/3</f>
        <v>0.71191289257937473</v>
      </c>
      <c r="E68" s="50">
        <v>3</v>
      </c>
      <c r="F68" s="50">
        <v>2</v>
      </c>
      <c r="G68" s="50">
        <f t="shared" si="2"/>
        <v>5</v>
      </c>
    </row>
    <row r="69" spans="2:7" x14ac:dyDescent="0.3">
      <c r="B69" s="50">
        <v>11</v>
      </c>
      <c r="C69" s="67">
        <f>AVERAGE(retornos!I105:I109)</f>
        <v>0.64863224083530269</v>
      </c>
      <c r="D69" s="67">
        <f>(retornos!I109+retornos!I108+retornos!I107)/3</f>
        <v>0.66553775371031276</v>
      </c>
      <c r="E69" s="50">
        <v>5</v>
      </c>
      <c r="F69" s="50">
        <v>5</v>
      </c>
      <c r="G69" s="50">
        <f t="shared" si="2"/>
        <v>10</v>
      </c>
    </row>
  </sheetData>
  <mergeCells count="2">
    <mergeCell ref="B32:C32"/>
    <mergeCell ref="B39:C39"/>
  </mergeCells>
  <pageMargins left="0.511811024" right="0.511811024" top="0.78740157499999996" bottom="0.78740157499999996" header="0.31496062000000002" footer="0.31496062000000002"/>
  <ignoredErrors>
    <ignoredError sqref="C14:G14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811DB-409C-4D13-AA2F-D904F3F0A013}">
  <dimension ref="B1:E16"/>
  <sheetViews>
    <sheetView workbookViewId="0">
      <selection activeCell="J14" sqref="J14"/>
    </sheetView>
  </sheetViews>
  <sheetFormatPr defaultRowHeight="14.4" x14ac:dyDescent="0.3"/>
  <cols>
    <col min="2" max="2" width="16.44140625" style="2" customWidth="1"/>
    <col min="3" max="5" width="16.44140625" style="1" customWidth="1"/>
  </cols>
  <sheetData>
    <row r="1" spans="2:5" ht="15" thickBot="1" x14ac:dyDescent="0.35"/>
    <row r="2" spans="2:5" ht="15" thickBot="1" x14ac:dyDescent="0.35">
      <c r="B2" s="172" t="s">
        <v>180</v>
      </c>
      <c r="C2" s="176"/>
      <c r="D2" s="176"/>
      <c r="E2" s="173"/>
    </row>
    <row r="3" spans="2:5" ht="15" thickBot="1" x14ac:dyDescent="0.35">
      <c r="B3" s="145" t="s">
        <v>138</v>
      </c>
      <c r="C3" s="59" t="s">
        <v>121</v>
      </c>
      <c r="D3" s="59" t="s">
        <v>128</v>
      </c>
      <c r="E3" s="146" t="s">
        <v>175</v>
      </c>
    </row>
    <row r="4" spans="2:5" x14ac:dyDescent="0.3">
      <c r="B4" s="147" t="s">
        <v>139</v>
      </c>
      <c r="C4" s="119">
        <v>0.13129945916353591</v>
      </c>
      <c r="D4" s="121">
        <v>1.5906E-2</v>
      </c>
      <c r="E4" s="116"/>
    </row>
    <row r="5" spans="2:5" x14ac:dyDescent="0.3">
      <c r="B5" s="147" t="s">
        <v>140</v>
      </c>
      <c r="C5" s="119">
        <v>9.2519379169041516E-2</v>
      </c>
      <c r="D5" s="121">
        <v>0.26798</v>
      </c>
      <c r="E5" s="116">
        <v>-0.17164943890145798</v>
      </c>
    </row>
    <row r="6" spans="2:5" ht="15" thickBot="1" x14ac:dyDescent="0.35">
      <c r="B6" s="147" t="s">
        <v>141</v>
      </c>
      <c r="C6" s="119">
        <v>0.12454876336760945</v>
      </c>
      <c r="D6" s="121">
        <v>0.251448</v>
      </c>
      <c r="E6" s="116">
        <v>-5.5555154299277668E-2</v>
      </c>
    </row>
    <row r="7" spans="2:5" x14ac:dyDescent="0.3">
      <c r="B7" s="44" t="s">
        <v>166</v>
      </c>
      <c r="C7" s="133">
        <v>0.25473509661025417</v>
      </c>
      <c r="D7" s="125">
        <v>0.19307940674873086</v>
      </c>
      <c r="E7" s="125">
        <v>0.60191349642814185</v>
      </c>
    </row>
    <row r="8" spans="2:5" x14ac:dyDescent="0.3">
      <c r="B8" s="150" t="s">
        <v>164</v>
      </c>
      <c r="C8" s="134">
        <v>0.24518158917138022</v>
      </c>
      <c r="D8" s="116">
        <v>0.19539778651468748</v>
      </c>
      <c r="E8" s="116">
        <v>0.5458792306099558</v>
      </c>
    </row>
    <row r="9" spans="2:5" ht="15" thickBot="1" x14ac:dyDescent="0.35">
      <c r="B9" s="151" t="s">
        <v>172</v>
      </c>
      <c r="C9" s="135">
        <v>0.26690497092649501</v>
      </c>
      <c r="D9" s="117">
        <v>0.18688535844503618</v>
      </c>
      <c r="E9" s="117">
        <v>0.68698252334411725</v>
      </c>
    </row>
    <row r="10" spans="2:5" x14ac:dyDescent="0.3">
      <c r="B10" s="150" t="s">
        <v>176</v>
      </c>
      <c r="C10" s="134">
        <v>0.23386272733308133</v>
      </c>
      <c r="D10" s="116">
        <v>0.18622658774585063</v>
      </c>
      <c r="E10" s="116">
        <v>0.51198237953727166</v>
      </c>
    </row>
    <row r="11" spans="2:5" x14ac:dyDescent="0.3">
      <c r="B11" s="150" t="s">
        <v>177</v>
      </c>
      <c r="C11" s="134">
        <v>0.22143202566713693</v>
      </c>
      <c r="D11" s="116">
        <v>0.18529999999999999</v>
      </c>
      <c r="E11" s="116">
        <v>0.42908497417219843</v>
      </c>
    </row>
    <row r="12" spans="2:5" ht="15" thickBot="1" x14ac:dyDescent="0.35">
      <c r="B12" s="151" t="s">
        <v>178</v>
      </c>
      <c r="C12" s="135">
        <v>0.2523239791107228</v>
      </c>
      <c r="D12" s="117">
        <v>0.18373090587096469</v>
      </c>
      <c r="E12" s="117">
        <v>0.61941665592611406</v>
      </c>
    </row>
    <row r="13" spans="2:5" x14ac:dyDescent="0.3">
      <c r="B13" s="130"/>
      <c r="C13"/>
      <c r="D13"/>
      <c r="E13"/>
    </row>
    <row r="14" spans="2:5" x14ac:dyDescent="0.3">
      <c r="B14" s="130"/>
      <c r="C14"/>
      <c r="D14"/>
      <c r="E14"/>
    </row>
    <row r="15" spans="2:5" x14ac:dyDescent="0.3">
      <c r="B15" s="130"/>
      <c r="C15"/>
      <c r="D15"/>
      <c r="E15"/>
    </row>
    <row r="16" spans="2:5" x14ac:dyDescent="0.3">
      <c r="B16" s="130"/>
      <c r="C16"/>
      <c r="D16"/>
      <c r="E16"/>
    </row>
  </sheetData>
  <mergeCells count="1">
    <mergeCell ref="B2:E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D28FA-36EF-4698-8E87-5C3805DB393C}">
  <dimension ref="B1:E16"/>
  <sheetViews>
    <sheetView tabSelected="1" workbookViewId="0">
      <selection activeCell="I15" sqref="I15"/>
    </sheetView>
  </sheetViews>
  <sheetFormatPr defaultRowHeight="14.4" x14ac:dyDescent="0.3"/>
  <cols>
    <col min="2" max="5" width="16.44140625" style="1" customWidth="1"/>
  </cols>
  <sheetData>
    <row r="1" spans="2:5" ht="15" thickBot="1" x14ac:dyDescent="0.35"/>
    <row r="2" spans="2:5" ht="15" thickBot="1" x14ac:dyDescent="0.35">
      <c r="B2" s="172" t="s">
        <v>152</v>
      </c>
      <c r="C2" s="176"/>
      <c r="D2" s="176"/>
      <c r="E2" s="173"/>
    </row>
    <row r="3" spans="2:5" ht="15" thickBot="1" x14ac:dyDescent="0.35">
      <c r="B3" s="145" t="s">
        <v>138</v>
      </c>
      <c r="C3" s="59" t="s">
        <v>120</v>
      </c>
      <c r="D3" s="148" t="s">
        <v>131</v>
      </c>
      <c r="E3" s="59" t="s">
        <v>130</v>
      </c>
    </row>
    <row r="4" spans="2:5" x14ac:dyDescent="0.3">
      <c r="B4" s="147" t="s">
        <v>139</v>
      </c>
      <c r="C4" s="124">
        <v>0.13851799580585422</v>
      </c>
      <c r="D4" s="126">
        <v>1.7690999999999998E-2</v>
      </c>
      <c r="E4" s="125"/>
    </row>
    <row r="5" spans="2:5" x14ac:dyDescent="0.3">
      <c r="B5" s="147" t="s">
        <v>140</v>
      </c>
      <c r="C5" s="122">
        <v>0.11932897589833535</v>
      </c>
      <c r="D5" s="119">
        <v>0.2722</v>
      </c>
      <c r="E5" s="116">
        <v>-7.0496031989415384E-2</v>
      </c>
    </row>
    <row r="6" spans="2:5" ht="15" thickBot="1" x14ac:dyDescent="0.35">
      <c r="B6" s="145" t="s">
        <v>141</v>
      </c>
      <c r="C6" s="123">
        <v>0.14320424815235988</v>
      </c>
      <c r="D6" s="120">
        <v>0.25516100000000003</v>
      </c>
      <c r="E6" s="117">
        <v>1.8365864479703634E-2</v>
      </c>
    </row>
    <row r="7" spans="2:5" x14ac:dyDescent="0.3">
      <c r="B7" s="147" t="s">
        <v>142</v>
      </c>
      <c r="C7" s="122">
        <v>0.22564541768586244</v>
      </c>
      <c r="D7" s="119">
        <v>0.2793523003563152</v>
      </c>
      <c r="E7" s="116">
        <v>0.31189083379258653</v>
      </c>
    </row>
    <row r="8" spans="2:5" x14ac:dyDescent="0.3">
      <c r="B8" s="147" t="s">
        <v>143</v>
      </c>
      <c r="C8" s="143">
        <v>0.2388264815302934</v>
      </c>
      <c r="D8" s="119">
        <v>0.2408449207794317</v>
      </c>
      <c r="E8" s="116">
        <v>0.41648578429562455</v>
      </c>
    </row>
    <row r="9" spans="2:5" x14ac:dyDescent="0.3">
      <c r="B9" s="147" t="s">
        <v>144</v>
      </c>
      <c r="C9" s="122">
        <v>0.22157046850801465</v>
      </c>
      <c r="D9" s="119">
        <v>0.2125492530823454</v>
      </c>
      <c r="E9" s="116">
        <v>0.39074459918231003</v>
      </c>
    </row>
    <row r="10" spans="2:5" x14ac:dyDescent="0.3">
      <c r="B10" s="147" t="s">
        <v>145</v>
      </c>
      <c r="C10" s="122">
        <v>0.22031991027121833</v>
      </c>
      <c r="D10" s="119">
        <v>0.20175020113083594</v>
      </c>
      <c r="E10" s="116">
        <v>0.4054613775195951</v>
      </c>
    </row>
    <row r="11" spans="2:5" ht="15" thickBot="1" x14ac:dyDescent="0.35">
      <c r="B11" s="145" t="s">
        <v>146</v>
      </c>
      <c r="C11" s="123">
        <v>0.22814188574592453</v>
      </c>
      <c r="D11" s="144">
        <v>0.18816383255422131</v>
      </c>
      <c r="E11" s="142">
        <v>0.47630774056562797</v>
      </c>
    </row>
    <row r="12" spans="2:5" x14ac:dyDescent="0.3">
      <c r="B12" s="147" t="s">
        <v>147</v>
      </c>
      <c r="C12" s="143">
        <v>0.24205877228179595</v>
      </c>
      <c r="D12" s="138">
        <v>0.1953049898385508</v>
      </c>
      <c r="E12" s="140">
        <v>0.53014916086646779</v>
      </c>
    </row>
    <row r="13" spans="2:5" x14ac:dyDescent="0.3">
      <c r="B13" s="147" t="s">
        <v>148</v>
      </c>
      <c r="C13" s="122">
        <v>0.23101456355320593</v>
      </c>
      <c r="D13" s="119">
        <v>0.20302244672474284</v>
      </c>
      <c r="E13" s="116">
        <v>0.45559773926258629</v>
      </c>
    </row>
    <row r="14" spans="2:5" x14ac:dyDescent="0.3">
      <c r="B14" s="147" t="s">
        <v>149</v>
      </c>
      <c r="C14" s="122">
        <v>0.22707174592208079</v>
      </c>
      <c r="D14" s="119">
        <v>0.24950470121911822</v>
      </c>
      <c r="E14" s="116">
        <v>0.35491816259789644</v>
      </c>
    </row>
    <row r="15" spans="2:5" x14ac:dyDescent="0.3">
      <c r="B15" s="147" t="s">
        <v>150</v>
      </c>
      <c r="C15" s="122">
        <v>0.11420525354294964</v>
      </c>
      <c r="D15" s="119">
        <v>0.22942859038944452</v>
      </c>
      <c r="E15" s="116">
        <v>-0.10597084792978424</v>
      </c>
    </row>
    <row r="16" spans="2:5" ht="15" thickBot="1" x14ac:dyDescent="0.35">
      <c r="B16" s="145" t="s">
        <v>151</v>
      </c>
      <c r="C16" s="123">
        <v>9.4627067136521248E-2</v>
      </c>
      <c r="D16" s="120">
        <v>0.23197177477737921</v>
      </c>
      <c r="E16" s="117">
        <v>-0.18920805650366138</v>
      </c>
    </row>
  </sheetData>
  <mergeCells count="1">
    <mergeCell ref="B2:E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80992-253B-4F98-8D43-893C07348C22}">
  <dimension ref="B1:I31"/>
  <sheetViews>
    <sheetView topLeftCell="A9" workbookViewId="0">
      <selection activeCell="F17" sqref="F17:I31"/>
    </sheetView>
  </sheetViews>
  <sheetFormatPr defaultRowHeight="14.4" x14ac:dyDescent="0.3"/>
  <cols>
    <col min="2" max="9" width="16.44140625" style="1" customWidth="1"/>
  </cols>
  <sheetData>
    <row r="1" spans="2:9" ht="15" thickBot="1" x14ac:dyDescent="0.35"/>
    <row r="2" spans="2:9" ht="15" thickBot="1" x14ac:dyDescent="0.35">
      <c r="B2" s="172" t="s">
        <v>181</v>
      </c>
      <c r="C2" s="176"/>
      <c r="D2" s="176"/>
      <c r="E2" s="173"/>
      <c r="F2" s="172" t="s">
        <v>161</v>
      </c>
      <c r="G2" s="176"/>
      <c r="H2" s="176"/>
      <c r="I2" s="173"/>
    </row>
    <row r="3" spans="2:9" ht="15" thickBot="1" x14ac:dyDescent="0.35">
      <c r="B3" s="145" t="s">
        <v>138</v>
      </c>
      <c r="C3" s="59" t="s">
        <v>120</v>
      </c>
      <c r="D3" s="137" t="s">
        <v>131</v>
      </c>
      <c r="E3" s="146" t="s">
        <v>130</v>
      </c>
      <c r="F3" s="145" t="s">
        <v>138</v>
      </c>
      <c r="G3" s="59" t="s">
        <v>120</v>
      </c>
      <c r="H3" s="137" t="s">
        <v>131</v>
      </c>
      <c r="I3" s="146" t="s">
        <v>130</v>
      </c>
    </row>
    <row r="4" spans="2:9" x14ac:dyDescent="0.3">
      <c r="B4" s="147" t="s">
        <v>139</v>
      </c>
      <c r="C4" s="119">
        <v>0.13851799580585422</v>
      </c>
      <c r="D4" s="134">
        <v>1.7690999999999998E-2</v>
      </c>
      <c r="E4" s="116"/>
      <c r="F4" s="147" t="s">
        <v>139</v>
      </c>
      <c r="G4" s="119">
        <v>0.13851799580585422</v>
      </c>
      <c r="H4" s="134">
        <v>1.7690999999999998E-2</v>
      </c>
      <c r="I4" s="116"/>
    </row>
    <row r="5" spans="2:9" x14ac:dyDescent="0.3">
      <c r="B5" s="147" t="s">
        <v>140</v>
      </c>
      <c r="C5" s="119">
        <v>0.11932897589833535</v>
      </c>
      <c r="D5" s="134">
        <v>0.2722</v>
      </c>
      <c r="E5" s="116">
        <v>-7.0496031989415384E-2</v>
      </c>
      <c r="F5" s="147" t="s">
        <v>140</v>
      </c>
      <c r="G5" s="119">
        <v>0.11932897589833535</v>
      </c>
      <c r="H5" s="134">
        <v>0.2722</v>
      </c>
      <c r="I5" s="116">
        <v>-7.0496031989415384E-2</v>
      </c>
    </row>
    <row r="6" spans="2:9" ht="15" thickBot="1" x14ac:dyDescent="0.35">
      <c r="B6" s="145" t="s">
        <v>141</v>
      </c>
      <c r="C6" s="120">
        <v>0.14320424815235988</v>
      </c>
      <c r="D6" s="135">
        <v>0.25516100000000003</v>
      </c>
      <c r="E6" s="117">
        <v>1.8365864479703634E-2</v>
      </c>
      <c r="F6" s="145" t="s">
        <v>141</v>
      </c>
      <c r="G6" s="120">
        <v>0.14320424815235988</v>
      </c>
      <c r="H6" s="135">
        <v>0.25516100000000003</v>
      </c>
      <c r="I6" s="117">
        <v>1.8365864479703634E-2</v>
      </c>
    </row>
    <row r="7" spans="2:9" x14ac:dyDescent="0.3">
      <c r="B7" s="147" t="s">
        <v>142</v>
      </c>
      <c r="C7" s="138">
        <v>0.34996849634987126</v>
      </c>
      <c r="D7" s="134">
        <v>0.30424247271591337</v>
      </c>
      <c r="E7" s="140">
        <v>0.69500651456201878</v>
      </c>
      <c r="F7" s="147" t="s">
        <v>142</v>
      </c>
      <c r="G7" s="119">
        <v>0.20630710633934934</v>
      </c>
      <c r="H7" s="134">
        <v>0.26478232625077325</v>
      </c>
      <c r="I7" s="116">
        <v>0.25601826033242336</v>
      </c>
    </row>
    <row r="8" spans="2:9" x14ac:dyDescent="0.3">
      <c r="B8" s="147" t="s">
        <v>143</v>
      </c>
      <c r="C8" s="119">
        <v>0.29112053404479066</v>
      </c>
      <c r="D8" s="134">
        <v>0.23372215420987172</v>
      </c>
      <c r="E8" s="116">
        <v>0.65292286370895924</v>
      </c>
      <c r="F8" s="147" t="s">
        <v>143</v>
      </c>
      <c r="G8" s="138">
        <v>0.26063541331851403</v>
      </c>
      <c r="H8" s="134">
        <v>0.22265549033619728</v>
      </c>
      <c r="I8" s="116">
        <v>0.54845904463559092</v>
      </c>
    </row>
    <row r="9" spans="2:9" x14ac:dyDescent="0.3">
      <c r="B9" s="147" t="s">
        <v>144</v>
      </c>
      <c r="C9" s="119">
        <v>0.2755461351078925</v>
      </c>
      <c r="D9" s="134">
        <v>0.20949361529751098</v>
      </c>
      <c r="E9" s="116">
        <v>0.65409219802445373</v>
      </c>
      <c r="F9" s="147" t="s">
        <v>144</v>
      </c>
      <c r="G9" s="119">
        <v>0.25672052279680035</v>
      </c>
      <c r="H9" s="134">
        <v>0.20379571899727972</v>
      </c>
      <c r="I9" s="116">
        <v>0.58000495580834022</v>
      </c>
    </row>
    <row r="10" spans="2:9" x14ac:dyDescent="0.3">
      <c r="B10" s="147" t="s">
        <v>145</v>
      </c>
      <c r="C10" s="119">
        <v>0.26759113988419103</v>
      </c>
      <c r="D10" s="134">
        <v>0.20093584766540032</v>
      </c>
      <c r="E10" s="116">
        <v>0.64235996502361414</v>
      </c>
      <c r="F10" s="147" t="s">
        <v>145</v>
      </c>
      <c r="G10" s="119">
        <v>0.25744892110259143</v>
      </c>
      <c r="H10" s="134">
        <v>0.19257056683177287</v>
      </c>
      <c r="I10" s="140">
        <v>0.617596589413551</v>
      </c>
    </row>
    <row r="11" spans="2:9" ht="15" thickBot="1" x14ac:dyDescent="0.35">
      <c r="B11" s="145" t="s">
        <v>146</v>
      </c>
      <c r="C11" s="120">
        <v>0.2679288791094061</v>
      </c>
      <c r="D11" s="139">
        <v>0.19516787836750465</v>
      </c>
      <c r="E11" s="117">
        <v>0.6630747046389921</v>
      </c>
      <c r="F11" s="145" t="s">
        <v>146</v>
      </c>
      <c r="G11" s="120">
        <v>0.2449608569215096</v>
      </c>
      <c r="H11" s="139">
        <v>0.18203533714177653</v>
      </c>
      <c r="I11" s="117">
        <v>0.58473735257651294</v>
      </c>
    </row>
    <row r="12" spans="2:9" x14ac:dyDescent="0.3">
      <c r="B12" s="147" t="s">
        <v>147</v>
      </c>
      <c r="C12" s="138">
        <v>0.289264230833022</v>
      </c>
      <c r="D12" s="134">
        <v>0.20589767806582096</v>
      </c>
      <c r="E12" s="140">
        <v>0.73214150078456697</v>
      </c>
      <c r="F12" s="147" t="s">
        <v>147</v>
      </c>
      <c r="G12" s="138">
        <v>0.25956337479366254</v>
      </c>
      <c r="H12" s="141">
        <v>0.19206699715793482</v>
      </c>
      <c r="I12" s="140">
        <v>0.63022476937187644</v>
      </c>
    </row>
    <row r="13" spans="2:9" x14ac:dyDescent="0.3">
      <c r="B13" s="147" t="s">
        <v>148</v>
      </c>
      <c r="C13" s="119">
        <v>0.22939445670301595</v>
      </c>
      <c r="D13" s="134">
        <v>0.20319554830565162</v>
      </c>
      <c r="E13" s="116">
        <v>0.4472364756754571</v>
      </c>
      <c r="F13" s="147" t="s">
        <v>148</v>
      </c>
      <c r="G13" s="119">
        <v>0.24614553141631679</v>
      </c>
      <c r="H13" s="134">
        <v>0.19900067099555885</v>
      </c>
      <c r="I13" s="116">
        <v>0.54084006386523453</v>
      </c>
    </row>
    <row r="14" spans="2:9" x14ac:dyDescent="0.3">
      <c r="B14" s="147" t="s">
        <v>149</v>
      </c>
      <c r="C14" s="119">
        <v>0.21722204740709206</v>
      </c>
      <c r="D14" s="141">
        <v>0.20104816252166077</v>
      </c>
      <c r="E14" s="116">
        <v>0.39146864419991068</v>
      </c>
      <c r="F14" s="147" t="s">
        <v>149</v>
      </c>
      <c r="G14" s="119">
        <v>0.18450738369861552</v>
      </c>
      <c r="H14" s="134">
        <v>0.21665366564897515</v>
      </c>
      <c r="I14" s="116">
        <v>0.21227145063529115</v>
      </c>
    </row>
    <row r="15" spans="2:9" x14ac:dyDescent="0.3">
      <c r="B15" s="147" t="s">
        <v>150</v>
      </c>
      <c r="C15" s="119">
        <v>0.16585928293460217</v>
      </c>
      <c r="D15" s="134">
        <v>0.27148639945573538</v>
      </c>
      <c r="E15" s="116">
        <v>0.10070960159905108</v>
      </c>
      <c r="F15" s="147" t="s">
        <v>150</v>
      </c>
      <c r="G15" s="119">
        <v>0.15387404207810884</v>
      </c>
      <c r="H15" s="134">
        <v>0.29636812723926864</v>
      </c>
      <c r="I15" s="116">
        <v>5.1814094907233842E-2</v>
      </c>
    </row>
    <row r="16" spans="2:9" ht="15" thickBot="1" x14ac:dyDescent="0.35">
      <c r="B16" s="145" t="s">
        <v>151</v>
      </c>
      <c r="C16" s="120">
        <v>9.8527016342722984E-2</v>
      </c>
      <c r="D16" s="135">
        <v>0.22170584080491698</v>
      </c>
      <c r="E16" s="117">
        <v>-0.18037855618932488</v>
      </c>
      <c r="F16" s="145" t="s">
        <v>151</v>
      </c>
      <c r="G16" s="120">
        <v>9.1294808588441523E-2</v>
      </c>
      <c r="H16" s="135">
        <v>0.22926122125929549</v>
      </c>
      <c r="I16" s="117">
        <v>-0.20597982928828185</v>
      </c>
    </row>
    <row r="17" spans="2:9" ht="15" thickBot="1" x14ac:dyDescent="0.35">
      <c r="B17" s="172" t="s">
        <v>160</v>
      </c>
      <c r="C17" s="176"/>
      <c r="D17" s="176"/>
      <c r="E17" s="173"/>
      <c r="F17" s="172" t="s">
        <v>159</v>
      </c>
      <c r="G17" s="176"/>
      <c r="H17" s="176"/>
      <c r="I17" s="173"/>
    </row>
    <row r="18" spans="2:9" ht="15" thickBot="1" x14ac:dyDescent="0.35">
      <c r="B18" s="145" t="s">
        <v>138</v>
      </c>
      <c r="C18" s="59" t="s">
        <v>120</v>
      </c>
      <c r="D18" s="137" t="s">
        <v>131</v>
      </c>
      <c r="E18" s="146" t="s">
        <v>130</v>
      </c>
      <c r="F18" s="145" t="s">
        <v>138</v>
      </c>
      <c r="G18" s="59" t="s">
        <v>120</v>
      </c>
      <c r="H18" s="137" t="s">
        <v>131</v>
      </c>
      <c r="I18" s="146" t="s">
        <v>130</v>
      </c>
    </row>
    <row r="19" spans="2:9" x14ac:dyDescent="0.3">
      <c r="B19" s="147" t="s">
        <v>139</v>
      </c>
      <c r="C19" s="119">
        <v>0.13851799580585422</v>
      </c>
      <c r="D19" s="134">
        <v>1.7690999999999998E-2</v>
      </c>
      <c r="E19" s="116"/>
      <c r="F19" s="147" t="s">
        <v>139</v>
      </c>
      <c r="G19" s="119">
        <v>0.13851799580585422</v>
      </c>
      <c r="H19" s="134">
        <v>1.7690999999999998E-2</v>
      </c>
      <c r="I19" s="116"/>
    </row>
    <row r="20" spans="2:9" x14ac:dyDescent="0.3">
      <c r="B20" s="147" t="s">
        <v>140</v>
      </c>
      <c r="C20" s="119">
        <v>0.11932897589833535</v>
      </c>
      <c r="D20" s="134">
        <v>0.2722</v>
      </c>
      <c r="E20" s="116">
        <v>-7.0496031989415384E-2</v>
      </c>
      <c r="F20" s="147" t="s">
        <v>140</v>
      </c>
      <c r="G20" s="119">
        <v>0.11932897589833535</v>
      </c>
      <c r="H20" s="134">
        <v>0.2722</v>
      </c>
      <c r="I20" s="116">
        <v>-7.0496031989415384E-2</v>
      </c>
    </row>
    <row r="21" spans="2:9" ht="15" thickBot="1" x14ac:dyDescent="0.35">
      <c r="B21" s="145" t="s">
        <v>141</v>
      </c>
      <c r="C21" s="120">
        <v>0.14320424815235988</v>
      </c>
      <c r="D21" s="135">
        <v>0.25516100000000003</v>
      </c>
      <c r="E21" s="117">
        <v>1.8365864479703634E-2</v>
      </c>
      <c r="F21" s="145" t="s">
        <v>141</v>
      </c>
      <c r="G21" s="120">
        <v>0.14320424815235988</v>
      </c>
      <c r="H21" s="135">
        <v>0.25516100000000003</v>
      </c>
      <c r="I21" s="117">
        <v>1.8365864479703634E-2</v>
      </c>
    </row>
    <row r="22" spans="2:9" x14ac:dyDescent="0.3">
      <c r="B22" s="147" t="s">
        <v>142</v>
      </c>
      <c r="C22" s="138">
        <v>0.33202352616834463</v>
      </c>
      <c r="D22" s="134">
        <v>0.2923651491185838</v>
      </c>
      <c r="E22" s="116">
        <v>0.66186250634135679</v>
      </c>
      <c r="F22" s="147" t="s">
        <v>142</v>
      </c>
      <c r="G22" s="138">
        <v>0.25768694152312044</v>
      </c>
      <c r="H22" s="134">
        <v>0.26443016759819354</v>
      </c>
      <c r="I22" s="116">
        <v>0.45066320079766997</v>
      </c>
    </row>
    <row r="23" spans="2:9" x14ac:dyDescent="0.3">
      <c r="B23" s="147" t="s">
        <v>143</v>
      </c>
      <c r="C23" s="119">
        <v>0.30181728707737832</v>
      </c>
      <c r="D23" s="134">
        <v>0.23616325884914546</v>
      </c>
      <c r="E23" s="116">
        <v>0.69146780946072206</v>
      </c>
      <c r="F23" s="147" t="s">
        <v>143</v>
      </c>
      <c r="G23" s="119">
        <v>0.25525706200179332</v>
      </c>
      <c r="H23" s="134">
        <v>0.21918297340812057</v>
      </c>
      <c r="I23" s="116">
        <v>0.5326101036989308</v>
      </c>
    </row>
    <row r="24" spans="2:9" x14ac:dyDescent="0.3">
      <c r="B24" s="147" t="s">
        <v>144</v>
      </c>
      <c r="C24" s="119">
        <v>0.28208775765328142</v>
      </c>
      <c r="D24" s="134">
        <v>0.21485278609047306</v>
      </c>
      <c r="E24" s="116">
        <v>0.66822387765998503</v>
      </c>
      <c r="F24" s="147" t="s">
        <v>144</v>
      </c>
      <c r="G24" s="119">
        <v>0.24466165548476693</v>
      </c>
      <c r="H24" s="134">
        <v>0.20362039854207029</v>
      </c>
      <c r="I24" s="116">
        <v>0.52128205444496378</v>
      </c>
    </row>
    <row r="25" spans="2:9" x14ac:dyDescent="0.3">
      <c r="B25" s="147" t="s">
        <v>145</v>
      </c>
      <c r="C25" s="119">
        <v>0.28194022453914847</v>
      </c>
      <c r="D25" s="134">
        <v>0.20113629696414012</v>
      </c>
      <c r="E25" s="116">
        <v>0.71305990464199753</v>
      </c>
      <c r="F25" s="147" t="s">
        <v>145</v>
      </c>
      <c r="G25" s="119">
        <v>0.23899258531774548</v>
      </c>
      <c r="H25" s="134">
        <v>0.19352141690946922</v>
      </c>
      <c r="I25" s="116">
        <v>0.51919105965875612</v>
      </c>
    </row>
    <row r="26" spans="2:9" ht="15" thickBot="1" x14ac:dyDescent="0.35">
      <c r="B26" s="145" t="s">
        <v>146</v>
      </c>
      <c r="C26" s="120">
        <v>0.27827949049020817</v>
      </c>
      <c r="D26" s="139">
        <v>0.19317298823838214</v>
      </c>
      <c r="E26" s="142">
        <v>0.72350433649596724</v>
      </c>
      <c r="F26" s="145" t="s">
        <v>146</v>
      </c>
      <c r="G26" s="120">
        <v>0.24579956385713464</v>
      </c>
      <c r="H26" s="139">
        <v>0.18491140211327534</v>
      </c>
      <c r="I26" s="142">
        <v>0.5801782195430033</v>
      </c>
    </row>
    <row r="27" spans="2:9" x14ac:dyDescent="0.3">
      <c r="B27" s="147" t="s">
        <v>147</v>
      </c>
      <c r="C27" s="138">
        <v>0.28811982861895991</v>
      </c>
      <c r="D27" s="134">
        <v>0.2052295776096352</v>
      </c>
      <c r="E27" s="140">
        <v>0.72894869519081507</v>
      </c>
      <c r="F27" s="147" t="s">
        <v>147</v>
      </c>
      <c r="G27" s="119">
        <v>0.24178313612466495</v>
      </c>
      <c r="H27" s="141">
        <v>0.1962315184331126</v>
      </c>
      <c r="I27" s="116">
        <v>0.52624135584014065</v>
      </c>
    </row>
    <row r="28" spans="2:9" x14ac:dyDescent="0.3">
      <c r="B28" s="147" t="s">
        <v>148</v>
      </c>
      <c r="C28" s="119">
        <v>0.22850301689015562</v>
      </c>
      <c r="D28" s="134">
        <v>0.20444068591849268</v>
      </c>
      <c r="E28" s="116">
        <v>0.440152216668736</v>
      </c>
      <c r="F28" s="147" t="s">
        <v>148</v>
      </c>
      <c r="G28" s="138">
        <v>0.2671781204390169</v>
      </c>
      <c r="H28" s="134">
        <v>0.20394286294211728</v>
      </c>
      <c r="I28" s="140">
        <v>0.63086358001004805</v>
      </c>
    </row>
    <row r="29" spans="2:9" x14ac:dyDescent="0.3">
      <c r="B29" s="147" t="s">
        <v>149</v>
      </c>
      <c r="C29" s="119">
        <v>0.18452248472537947</v>
      </c>
      <c r="D29" s="141">
        <v>0.20099401960093968</v>
      </c>
      <c r="E29" s="116">
        <v>0.22888486438981673</v>
      </c>
      <c r="F29" s="147" t="s">
        <v>149</v>
      </c>
      <c r="G29" s="119">
        <v>0.1795623237331796</v>
      </c>
      <c r="H29" s="134">
        <v>0.20732015228165054</v>
      </c>
      <c r="I29" s="116">
        <v>0.19797558257416986</v>
      </c>
    </row>
    <row r="30" spans="2:9" x14ac:dyDescent="0.3">
      <c r="B30" s="147" t="s">
        <v>150</v>
      </c>
      <c r="C30" s="119">
        <v>0.20403129978151702</v>
      </c>
      <c r="D30" s="134">
        <v>0.26673250128775977</v>
      </c>
      <c r="E30" s="116">
        <v>0.24561425270400361</v>
      </c>
      <c r="F30" s="147" t="s">
        <v>150</v>
      </c>
      <c r="G30" s="119">
        <v>0.18053957809340404</v>
      </c>
      <c r="H30" s="134">
        <v>0.2795892019098884</v>
      </c>
      <c r="I30" s="116">
        <v>0.15029758660383949</v>
      </c>
    </row>
    <row r="31" spans="2:9" ht="15" thickBot="1" x14ac:dyDescent="0.35">
      <c r="B31" s="145" t="s">
        <v>151</v>
      </c>
      <c r="C31" s="120">
        <v>8.7977862247281324E-2</v>
      </c>
      <c r="D31" s="135">
        <v>0.22651951448984003</v>
      </c>
      <c r="E31" s="117">
        <v>-0.22311602456149424</v>
      </c>
      <c r="F31" s="145" t="s">
        <v>151</v>
      </c>
      <c r="G31" s="120">
        <v>8.0162299766114442E-2</v>
      </c>
      <c r="H31" s="135">
        <v>0.23244792723918087</v>
      </c>
      <c r="I31" s="117">
        <v>-0.25104846807127595</v>
      </c>
    </row>
  </sheetData>
  <mergeCells count="4">
    <mergeCell ref="B2:E2"/>
    <mergeCell ref="F2:I2"/>
    <mergeCell ref="B17:E17"/>
    <mergeCell ref="F17:I17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16E80-72B3-447D-BAAB-2DC9CFA04D3C}">
  <dimension ref="B1:E16"/>
  <sheetViews>
    <sheetView workbookViewId="0">
      <selection activeCell="B1" sqref="B1:E1048576"/>
    </sheetView>
  </sheetViews>
  <sheetFormatPr defaultRowHeight="14.4" x14ac:dyDescent="0.3"/>
  <cols>
    <col min="2" max="5" width="16.44140625" style="1" customWidth="1"/>
  </cols>
  <sheetData>
    <row r="1" spans="2:5" ht="15" thickBot="1" x14ac:dyDescent="0.35"/>
    <row r="2" spans="2:5" ht="15" thickBot="1" x14ac:dyDescent="0.35">
      <c r="B2" s="177" t="s">
        <v>161</v>
      </c>
      <c r="C2" s="178"/>
      <c r="D2" s="178"/>
      <c r="E2" s="179"/>
    </row>
    <row r="3" spans="2:5" ht="15" thickBot="1" x14ac:dyDescent="0.35">
      <c r="B3" s="112" t="s">
        <v>138</v>
      </c>
      <c r="C3" s="118" t="s">
        <v>120</v>
      </c>
      <c r="D3" s="115" t="s">
        <v>131</v>
      </c>
      <c r="E3" s="113" t="s">
        <v>130</v>
      </c>
    </row>
    <row r="4" spans="2:5" x14ac:dyDescent="0.3">
      <c r="B4" s="114" t="s">
        <v>139</v>
      </c>
      <c r="C4" s="119">
        <v>0.13851799580585422</v>
      </c>
      <c r="D4" s="134">
        <v>1.7690999999999998E-2</v>
      </c>
      <c r="E4" s="116"/>
    </row>
    <row r="5" spans="2:5" x14ac:dyDescent="0.3">
      <c r="B5" s="114" t="s">
        <v>140</v>
      </c>
      <c r="C5" s="119">
        <v>0.11932897589833535</v>
      </c>
      <c r="D5" s="134">
        <v>0.2722</v>
      </c>
      <c r="E5" s="116">
        <v>-7.0496031989415384E-2</v>
      </c>
    </row>
    <row r="6" spans="2:5" ht="15" thickBot="1" x14ac:dyDescent="0.35">
      <c r="B6" s="112" t="s">
        <v>141</v>
      </c>
      <c r="C6" s="120">
        <v>0.14320424815235988</v>
      </c>
      <c r="D6" s="135">
        <v>0.25516100000000003</v>
      </c>
      <c r="E6" s="117">
        <v>1.8365864479703634E-2</v>
      </c>
    </row>
    <row r="7" spans="2:5" x14ac:dyDescent="0.3">
      <c r="B7" s="114" t="s">
        <v>142</v>
      </c>
      <c r="C7" s="119">
        <v>0.20630710633934934</v>
      </c>
      <c r="D7" s="134">
        <v>0.26478232625077325</v>
      </c>
      <c r="E7" s="116">
        <v>0.25601826033242336</v>
      </c>
    </row>
    <row r="8" spans="2:5" x14ac:dyDescent="0.3">
      <c r="B8" s="114" t="s">
        <v>143</v>
      </c>
      <c r="C8" s="119">
        <v>0.26063541331851403</v>
      </c>
      <c r="D8" s="134">
        <v>0.22265549033619728</v>
      </c>
      <c r="E8" s="116">
        <v>0.54845904463559092</v>
      </c>
    </row>
    <row r="9" spans="2:5" x14ac:dyDescent="0.3">
      <c r="B9" s="114" t="s">
        <v>144</v>
      </c>
      <c r="C9" s="119">
        <v>0.25672052279680035</v>
      </c>
      <c r="D9" s="134">
        <v>0.20379571899727972</v>
      </c>
      <c r="E9" s="116">
        <v>0.58000495580834022</v>
      </c>
    </row>
    <row r="10" spans="2:5" x14ac:dyDescent="0.3">
      <c r="B10" s="114" t="s">
        <v>145</v>
      </c>
      <c r="C10" s="119">
        <v>0.25744892110259143</v>
      </c>
      <c r="D10" s="134">
        <v>0.19257056683177287</v>
      </c>
      <c r="E10" s="116">
        <v>0.617596589413551</v>
      </c>
    </row>
    <row r="11" spans="2:5" ht="15" thickBot="1" x14ac:dyDescent="0.35">
      <c r="B11" s="112" t="s">
        <v>146</v>
      </c>
      <c r="C11" s="120">
        <v>0.2449608569215096</v>
      </c>
      <c r="D11" s="135">
        <v>0.18203533714177653</v>
      </c>
      <c r="E11" s="117">
        <v>0.58473735257651294</v>
      </c>
    </row>
    <row r="12" spans="2:5" x14ac:dyDescent="0.3">
      <c r="B12" s="114" t="s">
        <v>147</v>
      </c>
      <c r="C12" s="119">
        <v>0.25956337479366254</v>
      </c>
      <c r="D12" s="134">
        <v>0.19206699715793482</v>
      </c>
      <c r="E12" s="116">
        <v>0.63022476937187644</v>
      </c>
    </row>
    <row r="13" spans="2:5" x14ac:dyDescent="0.3">
      <c r="B13" s="114" t="s">
        <v>148</v>
      </c>
      <c r="C13" s="119">
        <v>0.24614553141631679</v>
      </c>
      <c r="D13" s="134">
        <v>0.19900067099555885</v>
      </c>
      <c r="E13" s="116">
        <v>0.54084006386523453</v>
      </c>
    </row>
    <row r="14" spans="2:5" x14ac:dyDescent="0.3">
      <c r="B14" s="114" t="s">
        <v>149</v>
      </c>
      <c r="C14" s="119">
        <v>0.18450738369861552</v>
      </c>
      <c r="D14" s="134">
        <v>0.21665366564897515</v>
      </c>
      <c r="E14" s="116">
        <v>0.21227145063529115</v>
      </c>
    </row>
    <row r="15" spans="2:5" x14ac:dyDescent="0.3">
      <c r="B15" s="114" t="s">
        <v>150</v>
      </c>
      <c r="C15" s="119">
        <v>0.15387404207810884</v>
      </c>
      <c r="D15" s="134">
        <v>0.29636812723926864</v>
      </c>
      <c r="E15" s="116">
        <v>5.1814094907233842E-2</v>
      </c>
    </row>
    <row r="16" spans="2:5" ht="15" thickBot="1" x14ac:dyDescent="0.35">
      <c r="B16" s="112" t="s">
        <v>151</v>
      </c>
      <c r="C16" s="120">
        <v>9.1294808588441523E-2</v>
      </c>
      <c r="D16" s="135">
        <v>0.22926122125929549</v>
      </c>
      <c r="E16" s="117">
        <v>-0.20597982928828185</v>
      </c>
    </row>
  </sheetData>
  <mergeCells count="1">
    <mergeCell ref="B2:E2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3A51C-21EA-4DD0-9A8A-D5690DC8AA64}">
  <dimension ref="B1:E16"/>
  <sheetViews>
    <sheetView workbookViewId="0">
      <selection activeCell="B2" sqref="B2:E16"/>
    </sheetView>
  </sheetViews>
  <sheetFormatPr defaultRowHeight="14.4" x14ac:dyDescent="0.3"/>
  <cols>
    <col min="2" max="5" width="16.44140625" style="1" customWidth="1"/>
  </cols>
  <sheetData>
    <row r="1" spans="2:5" ht="15" thickBot="1" x14ac:dyDescent="0.35"/>
    <row r="2" spans="2:5" ht="15" thickBot="1" x14ac:dyDescent="0.35">
      <c r="B2" s="177" t="s">
        <v>160</v>
      </c>
      <c r="C2" s="178"/>
      <c r="D2" s="178"/>
      <c r="E2" s="179"/>
    </row>
    <row r="3" spans="2:5" ht="15" thickBot="1" x14ac:dyDescent="0.35">
      <c r="B3" s="112" t="s">
        <v>138</v>
      </c>
      <c r="C3" s="118" t="s">
        <v>120</v>
      </c>
      <c r="D3" s="115" t="s">
        <v>131</v>
      </c>
      <c r="E3" s="113" t="s">
        <v>130</v>
      </c>
    </row>
    <row r="4" spans="2:5" x14ac:dyDescent="0.3">
      <c r="B4" s="114" t="s">
        <v>139</v>
      </c>
      <c r="C4" s="119">
        <v>0.13851799580585422</v>
      </c>
      <c r="D4" s="134">
        <v>1.7690999999999998E-2</v>
      </c>
      <c r="E4" s="116"/>
    </row>
    <row r="5" spans="2:5" x14ac:dyDescent="0.3">
      <c r="B5" s="114" t="s">
        <v>140</v>
      </c>
      <c r="C5" s="119">
        <v>0.11932897589833535</v>
      </c>
      <c r="D5" s="134">
        <v>0.2722</v>
      </c>
      <c r="E5" s="116">
        <v>-7.0496031989415384E-2</v>
      </c>
    </row>
    <row r="6" spans="2:5" ht="15" thickBot="1" x14ac:dyDescent="0.35">
      <c r="B6" s="112" t="s">
        <v>141</v>
      </c>
      <c r="C6" s="120">
        <v>0.14320424815235988</v>
      </c>
      <c r="D6" s="135">
        <v>0.25516100000000003</v>
      </c>
      <c r="E6" s="117">
        <v>1.8365864479703634E-2</v>
      </c>
    </row>
    <row r="7" spans="2:5" x14ac:dyDescent="0.3">
      <c r="B7" s="114" t="s">
        <v>142</v>
      </c>
      <c r="C7" s="119">
        <v>0.33202352616834463</v>
      </c>
      <c r="D7" s="134">
        <v>0.2923651491185838</v>
      </c>
      <c r="E7" s="116">
        <v>0.66186250634135679</v>
      </c>
    </row>
    <row r="8" spans="2:5" x14ac:dyDescent="0.3">
      <c r="B8" s="114" t="s">
        <v>143</v>
      </c>
      <c r="C8" s="119">
        <v>0.30181728707737832</v>
      </c>
      <c r="D8" s="134">
        <v>0.23616325884914546</v>
      </c>
      <c r="E8" s="116">
        <v>0.69146780946072206</v>
      </c>
    </row>
    <row r="9" spans="2:5" x14ac:dyDescent="0.3">
      <c r="B9" s="114" t="s">
        <v>144</v>
      </c>
      <c r="C9" s="119">
        <v>0.28208775765328142</v>
      </c>
      <c r="D9" s="134">
        <v>0.21485278609047306</v>
      </c>
      <c r="E9" s="116">
        <v>0.66822387765998503</v>
      </c>
    </row>
    <row r="10" spans="2:5" x14ac:dyDescent="0.3">
      <c r="B10" s="114" t="s">
        <v>145</v>
      </c>
      <c r="C10" s="119">
        <v>0.28194022453914847</v>
      </c>
      <c r="D10" s="134">
        <v>0.20113629696414012</v>
      </c>
      <c r="E10" s="116">
        <v>0.71305990464199753</v>
      </c>
    </row>
    <row r="11" spans="2:5" ht="15" thickBot="1" x14ac:dyDescent="0.35">
      <c r="B11" s="112" t="s">
        <v>146</v>
      </c>
      <c r="C11" s="120">
        <v>0.27827949049020817</v>
      </c>
      <c r="D11" s="135">
        <v>0.19317298823838214</v>
      </c>
      <c r="E11" s="117">
        <v>0.72350433649596724</v>
      </c>
    </row>
    <row r="12" spans="2:5" x14ac:dyDescent="0.3">
      <c r="B12" s="114" t="s">
        <v>147</v>
      </c>
      <c r="C12" s="119">
        <v>0.28811982861895991</v>
      </c>
      <c r="D12" s="134">
        <v>0.2052295776096352</v>
      </c>
      <c r="E12" s="116">
        <v>0.72894869519081507</v>
      </c>
    </row>
    <row r="13" spans="2:5" x14ac:dyDescent="0.3">
      <c r="B13" s="114" t="s">
        <v>148</v>
      </c>
      <c r="C13" s="119">
        <v>0.22850301689015562</v>
      </c>
      <c r="D13" s="134">
        <v>0.20444068591849268</v>
      </c>
      <c r="E13" s="116">
        <v>0.440152216668736</v>
      </c>
    </row>
    <row r="14" spans="2:5" x14ac:dyDescent="0.3">
      <c r="B14" s="114" t="s">
        <v>149</v>
      </c>
      <c r="C14" s="119">
        <v>0.18452248472537947</v>
      </c>
      <c r="D14" s="134">
        <v>0.20099401960093968</v>
      </c>
      <c r="E14" s="116">
        <v>0.22888486438981673</v>
      </c>
    </row>
    <row r="15" spans="2:5" x14ac:dyDescent="0.3">
      <c r="B15" s="114" t="s">
        <v>150</v>
      </c>
      <c r="C15" s="119">
        <v>0.20403129978151702</v>
      </c>
      <c r="D15" s="134">
        <v>0.26673250128775977</v>
      </c>
      <c r="E15" s="116">
        <v>0.24561425270400361</v>
      </c>
    </row>
    <row r="16" spans="2:5" ht="15" thickBot="1" x14ac:dyDescent="0.35">
      <c r="B16" s="112" t="s">
        <v>151</v>
      </c>
      <c r="C16" s="120">
        <v>8.7977862247281324E-2</v>
      </c>
      <c r="D16" s="135">
        <v>0.22651951448984003</v>
      </c>
      <c r="E16" s="117">
        <v>-0.22311602456149424</v>
      </c>
    </row>
  </sheetData>
  <mergeCells count="1">
    <mergeCell ref="B2:E2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E8F72-57FD-4567-AA07-A3220F3DF58C}">
  <dimension ref="B1:E16"/>
  <sheetViews>
    <sheetView workbookViewId="0">
      <selection activeCell="B2" sqref="B2:E16"/>
    </sheetView>
  </sheetViews>
  <sheetFormatPr defaultRowHeight="14.4" x14ac:dyDescent="0.3"/>
  <cols>
    <col min="2" max="5" width="16.44140625" style="1" customWidth="1"/>
  </cols>
  <sheetData>
    <row r="1" spans="2:5" ht="15" thickBot="1" x14ac:dyDescent="0.35"/>
    <row r="2" spans="2:5" ht="15" thickBot="1" x14ac:dyDescent="0.35">
      <c r="B2" s="177" t="s">
        <v>159</v>
      </c>
      <c r="C2" s="178"/>
      <c r="D2" s="178"/>
      <c r="E2" s="179"/>
    </row>
    <row r="3" spans="2:5" ht="15" thickBot="1" x14ac:dyDescent="0.35">
      <c r="B3" s="112" t="s">
        <v>138</v>
      </c>
      <c r="C3" s="118" t="s">
        <v>120</v>
      </c>
      <c r="D3" s="115" t="s">
        <v>131</v>
      </c>
      <c r="E3" s="113" t="s">
        <v>130</v>
      </c>
    </row>
    <row r="4" spans="2:5" x14ac:dyDescent="0.3">
      <c r="B4" s="114" t="s">
        <v>139</v>
      </c>
      <c r="C4" s="119">
        <v>0.13851799580585422</v>
      </c>
      <c r="D4" s="134">
        <v>1.7690999999999998E-2</v>
      </c>
      <c r="E4" s="116"/>
    </row>
    <row r="5" spans="2:5" x14ac:dyDescent="0.3">
      <c r="B5" s="114" t="s">
        <v>140</v>
      </c>
      <c r="C5" s="119">
        <v>0.11932897589833535</v>
      </c>
      <c r="D5" s="134">
        <v>0.2722</v>
      </c>
      <c r="E5" s="116">
        <v>-7.0496031989415384E-2</v>
      </c>
    </row>
    <row r="6" spans="2:5" ht="15" thickBot="1" x14ac:dyDescent="0.35">
      <c r="B6" s="112" t="s">
        <v>141</v>
      </c>
      <c r="C6" s="120">
        <v>0.14320424815235988</v>
      </c>
      <c r="D6" s="135">
        <v>0.25516100000000003</v>
      </c>
      <c r="E6" s="117">
        <v>1.8365864479703634E-2</v>
      </c>
    </row>
    <row r="7" spans="2:5" x14ac:dyDescent="0.3">
      <c r="B7" s="114" t="s">
        <v>142</v>
      </c>
      <c r="C7" s="119">
        <v>0.25768694152312044</v>
      </c>
      <c r="D7" s="134">
        <v>0.26443016759819354</v>
      </c>
      <c r="E7" s="116">
        <v>0.45066320079766997</v>
      </c>
    </row>
    <row r="8" spans="2:5" x14ac:dyDescent="0.3">
      <c r="B8" s="114" t="s">
        <v>143</v>
      </c>
      <c r="C8" s="119">
        <v>0.25525706200179332</v>
      </c>
      <c r="D8" s="134">
        <v>0.21918297340812057</v>
      </c>
      <c r="E8" s="116">
        <v>0.5326101036989308</v>
      </c>
    </row>
    <row r="9" spans="2:5" x14ac:dyDescent="0.3">
      <c r="B9" s="114" t="s">
        <v>144</v>
      </c>
      <c r="C9" s="119">
        <v>0.24466165548476693</v>
      </c>
      <c r="D9" s="134">
        <v>0.20362039854207029</v>
      </c>
      <c r="E9" s="116">
        <v>0.52128205444496378</v>
      </c>
    </row>
    <row r="10" spans="2:5" x14ac:dyDescent="0.3">
      <c r="B10" s="114" t="s">
        <v>145</v>
      </c>
      <c r="C10" s="119">
        <v>0.23899258531774548</v>
      </c>
      <c r="D10" s="134">
        <v>0.19352141690946922</v>
      </c>
      <c r="E10" s="116">
        <v>0.51919105965875612</v>
      </c>
    </row>
    <row r="11" spans="2:5" ht="15" thickBot="1" x14ac:dyDescent="0.35">
      <c r="B11" s="112" t="s">
        <v>146</v>
      </c>
      <c r="C11" s="120">
        <v>0.24579956385713464</v>
      </c>
      <c r="D11" s="135">
        <v>0.18491140211327534</v>
      </c>
      <c r="E11" s="117">
        <v>0.5801782195430033</v>
      </c>
    </row>
    <row r="12" spans="2:5" x14ac:dyDescent="0.3">
      <c r="B12" s="114" t="s">
        <v>147</v>
      </c>
      <c r="C12" s="119">
        <v>0.24178313612466495</v>
      </c>
      <c r="D12" s="134">
        <v>0.1962315184331126</v>
      </c>
      <c r="E12" s="116">
        <v>0.52624135584014065</v>
      </c>
    </row>
    <row r="13" spans="2:5" x14ac:dyDescent="0.3">
      <c r="B13" s="114" t="s">
        <v>148</v>
      </c>
      <c r="C13" s="119">
        <v>0.2671781204390169</v>
      </c>
      <c r="D13" s="134">
        <v>0.20394286294211728</v>
      </c>
      <c r="E13" s="116">
        <v>0.63086358001004805</v>
      </c>
    </row>
    <row r="14" spans="2:5" x14ac:dyDescent="0.3">
      <c r="B14" s="114" t="s">
        <v>149</v>
      </c>
      <c r="C14" s="119">
        <v>0.1795623237331796</v>
      </c>
      <c r="D14" s="134">
        <v>0.20732015228165054</v>
      </c>
      <c r="E14" s="116">
        <v>0.19797558257416986</v>
      </c>
    </row>
    <row r="15" spans="2:5" x14ac:dyDescent="0.3">
      <c r="B15" s="114" t="s">
        <v>150</v>
      </c>
      <c r="C15" s="119">
        <v>0.18053957809340404</v>
      </c>
      <c r="D15" s="134">
        <v>0.2795892019098884</v>
      </c>
      <c r="E15" s="116">
        <v>0.15029758660383949</v>
      </c>
    </row>
    <row r="16" spans="2:5" ht="15" thickBot="1" x14ac:dyDescent="0.35">
      <c r="B16" s="112" t="s">
        <v>151</v>
      </c>
      <c r="C16" s="120">
        <v>8.0162299766114442E-2</v>
      </c>
      <c r="D16" s="135">
        <v>0.23244792723918087</v>
      </c>
      <c r="E16" s="117">
        <v>-0.25104846807127595</v>
      </c>
    </row>
  </sheetData>
  <mergeCells count="1">
    <mergeCell ref="B2:E2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008B2-3BA1-4EE8-B874-A4E3F53CFDFA}">
  <dimension ref="B1:E16"/>
  <sheetViews>
    <sheetView workbookViewId="0">
      <selection activeCell="B2" sqref="B2:E16"/>
    </sheetView>
  </sheetViews>
  <sheetFormatPr defaultRowHeight="14.4" x14ac:dyDescent="0.3"/>
  <cols>
    <col min="2" max="5" width="16.44140625" style="1" customWidth="1"/>
  </cols>
  <sheetData>
    <row r="1" spans="2:5" ht="15" thickBot="1" x14ac:dyDescent="0.35"/>
    <row r="2" spans="2:5" ht="15" thickBot="1" x14ac:dyDescent="0.35">
      <c r="B2" s="172" t="s">
        <v>158</v>
      </c>
      <c r="C2" s="176"/>
      <c r="D2" s="176"/>
      <c r="E2" s="173"/>
    </row>
    <row r="3" spans="2:5" ht="15" thickBot="1" x14ac:dyDescent="0.35">
      <c r="B3" s="145" t="s">
        <v>138</v>
      </c>
      <c r="C3" s="59" t="s">
        <v>120</v>
      </c>
      <c r="D3" s="137" t="s">
        <v>131</v>
      </c>
      <c r="E3" s="146" t="s">
        <v>130</v>
      </c>
    </row>
    <row r="4" spans="2:5" x14ac:dyDescent="0.3">
      <c r="B4" s="147" t="s">
        <v>139</v>
      </c>
      <c r="C4" s="119">
        <v>0.13851799580585422</v>
      </c>
      <c r="D4" s="134">
        <v>1.7690999999999998E-2</v>
      </c>
      <c r="E4" s="116"/>
    </row>
    <row r="5" spans="2:5" x14ac:dyDescent="0.3">
      <c r="B5" s="147" t="s">
        <v>140</v>
      </c>
      <c r="C5" s="119">
        <v>0.11932897589833535</v>
      </c>
      <c r="D5" s="134">
        <v>0.2722</v>
      </c>
      <c r="E5" s="116">
        <v>-7.0496031989415384E-2</v>
      </c>
    </row>
    <row r="6" spans="2:5" ht="15" thickBot="1" x14ac:dyDescent="0.35">
      <c r="B6" s="145" t="s">
        <v>141</v>
      </c>
      <c r="C6" s="120">
        <v>0.14320424815235988</v>
      </c>
      <c r="D6" s="135">
        <v>0.25516100000000003</v>
      </c>
      <c r="E6" s="117">
        <v>1.8365864479703634E-2</v>
      </c>
    </row>
    <row r="7" spans="2:5" x14ac:dyDescent="0.3">
      <c r="B7" s="147" t="s">
        <v>142</v>
      </c>
      <c r="C7" s="138">
        <v>0.22772121299211534</v>
      </c>
      <c r="D7" s="134">
        <v>0.24014966970145821</v>
      </c>
      <c r="E7" s="116">
        <v>0.37144842754584673</v>
      </c>
    </row>
    <row r="8" spans="2:5" x14ac:dyDescent="0.3">
      <c r="B8" s="147" t="s">
        <v>143</v>
      </c>
      <c r="C8" s="119">
        <v>0.21188807905415641</v>
      </c>
      <c r="D8" s="134">
        <v>0.19119641720444125</v>
      </c>
      <c r="E8" s="116">
        <v>0.3837419357594421</v>
      </c>
    </row>
    <row r="9" spans="2:5" x14ac:dyDescent="0.3">
      <c r="B9" s="147" t="s">
        <v>144</v>
      </c>
      <c r="C9" s="119">
        <v>0.21861448321532562</v>
      </c>
      <c r="D9" s="134">
        <v>0.17867167396370928</v>
      </c>
      <c r="E9" s="116">
        <v>0.4482886717999861</v>
      </c>
    </row>
    <row r="10" spans="2:5" x14ac:dyDescent="0.3">
      <c r="B10" s="147" t="s">
        <v>145</v>
      </c>
      <c r="C10" s="119">
        <v>0.22134837505043281</v>
      </c>
      <c r="D10" s="141">
        <v>0.17369785127138179</v>
      </c>
      <c r="E10" s="140">
        <v>0.47686473170681992</v>
      </c>
    </row>
    <row r="11" spans="2:5" ht="15" thickBot="1" x14ac:dyDescent="0.35">
      <c r="B11" s="145" t="s">
        <v>146</v>
      </c>
      <c r="C11" s="120">
        <v>0.22142860454791369</v>
      </c>
      <c r="D11" s="135">
        <v>0.17586563081109877</v>
      </c>
      <c r="E11" s="117">
        <v>0.47144293265075549</v>
      </c>
    </row>
    <row r="12" spans="2:5" x14ac:dyDescent="0.3">
      <c r="B12" s="147" t="s">
        <v>147</v>
      </c>
      <c r="C12" s="119">
        <v>0.2191320740674807</v>
      </c>
      <c r="D12" s="141">
        <v>0.1820381084531732</v>
      </c>
      <c r="E12" s="140">
        <v>0.44284177058653268</v>
      </c>
    </row>
    <row r="13" spans="2:5" x14ac:dyDescent="0.3">
      <c r="B13" s="147" t="s">
        <v>148</v>
      </c>
      <c r="C13" s="138">
        <v>0.22360257157746366</v>
      </c>
      <c r="D13" s="134">
        <v>0.20155309055048659</v>
      </c>
      <c r="E13" s="116">
        <v>0.42214473387247214</v>
      </c>
    </row>
    <row r="14" spans="2:5" x14ac:dyDescent="0.3">
      <c r="B14" s="147" t="s">
        <v>149</v>
      </c>
      <c r="C14" s="119">
        <v>0.21184464804018632</v>
      </c>
      <c r="D14" s="134">
        <v>0.2161519109596865</v>
      </c>
      <c r="E14" s="116">
        <v>0.33923665957321986</v>
      </c>
    </row>
    <row r="15" spans="2:5" x14ac:dyDescent="0.3">
      <c r="B15" s="147" t="s">
        <v>150</v>
      </c>
      <c r="C15" s="119">
        <v>0.16963676588769161</v>
      </c>
      <c r="D15" s="134">
        <v>0.2222395646557066</v>
      </c>
      <c r="E15" s="116">
        <v>0.14002353779826093</v>
      </c>
    </row>
    <row r="16" spans="2:5" ht="15" thickBot="1" x14ac:dyDescent="0.35">
      <c r="B16" s="145" t="s">
        <v>151</v>
      </c>
      <c r="C16" s="120">
        <v>0.1081870874381039</v>
      </c>
      <c r="D16" s="135">
        <v>0.31060852167852537</v>
      </c>
      <c r="E16" s="117">
        <v>-9.7649955654282736E-2</v>
      </c>
    </row>
  </sheetData>
  <mergeCells count="1">
    <mergeCell ref="B2:E2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9FC79-5925-409D-9600-4106F6035C8D}">
  <dimension ref="B1:E16"/>
  <sheetViews>
    <sheetView workbookViewId="0">
      <selection activeCell="B2" sqref="B2:E16"/>
    </sheetView>
  </sheetViews>
  <sheetFormatPr defaultRowHeight="14.4" x14ac:dyDescent="0.3"/>
  <cols>
    <col min="2" max="5" width="16.44140625" style="1" customWidth="1"/>
  </cols>
  <sheetData>
    <row r="1" spans="2:5" ht="15" thickBot="1" x14ac:dyDescent="0.35"/>
    <row r="2" spans="2:5" ht="15" thickBot="1" x14ac:dyDescent="0.35">
      <c r="B2" s="172" t="s">
        <v>157</v>
      </c>
      <c r="C2" s="176"/>
      <c r="D2" s="176"/>
      <c r="E2" s="173"/>
    </row>
    <row r="3" spans="2:5" ht="15" thickBot="1" x14ac:dyDescent="0.35">
      <c r="B3" s="59" t="s">
        <v>138</v>
      </c>
      <c r="C3" s="148" t="s">
        <v>120</v>
      </c>
      <c r="D3" s="59" t="s">
        <v>131</v>
      </c>
      <c r="E3" s="146" t="s">
        <v>130</v>
      </c>
    </row>
    <row r="4" spans="2:5" x14ac:dyDescent="0.3">
      <c r="B4" s="147" t="s">
        <v>139</v>
      </c>
      <c r="C4" s="124">
        <v>0.13851799580585422</v>
      </c>
      <c r="D4" s="126">
        <v>1.7690999999999998E-2</v>
      </c>
      <c r="E4" s="125"/>
    </row>
    <row r="5" spans="2:5" x14ac:dyDescent="0.3">
      <c r="B5" s="147" t="s">
        <v>140</v>
      </c>
      <c r="C5" s="122">
        <v>0.11932897589833535</v>
      </c>
      <c r="D5" s="119">
        <v>0.2722</v>
      </c>
      <c r="E5" s="116">
        <v>-7.0496031989415384E-2</v>
      </c>
    </row>
    <row r="6" spans="2:5" ht="15" thickBot="1" x14ac:dyDescent="0.35">
      <c r="B6" s="145" t="s">
        <v>141</v>
      </c>
      <c r="C6" s="123">
        <v>0.14320424815235988</v>
      </c>
      <c r="D6" s="120">
        <v>0.25516100000000003</v>
      </c>
      <c r="E6" s="117">
        <v>1.8365864479703634E-2</v>
      </c>
    </row>
    <row r="7" spans="2:5" x14ac:dyDescent="0.3">
      <c r="B7" s="147" t="s">
        <v>142</v>
      </c>
      <c r="C7" s="122">
        <v>0.22719726791250339</v>
      </c>
      <c r="D7" s="119">
        <v>0.2793523003563152</v>
      </c>
      <c r="E7" s="116">
        <v>0.36650796808266267</v>
      </c>
    </row>
    <row r="8" spans="2:5" x14ac:dyDescent="0.3">
      <c r="B8" s="147" t="s">
        <v>143</v>
      </c>
      <c r="C8" s="122">
        <v>0.20646775694123476</v>
      </c>
      <c r="D8" s="119">
        <v>0.2408449207794317</v>
      </c>
      <c r="E8" s="116">
        <v>0.34776892136034965</v>
      </c>
    </row>
    <row r="9" spans="2:5" x14ac:dyDescent="0.3">
      <c r="B9" s="147" t="s">
        <v>144</v>
      </c>
      <c r="C9" s="122">
        <v>0.21972256631489162</v>
      </c>
      <c r="D9" s="119">
        <v>0.2125492530823454</v>
      </c>
      <c r="E9" s="116">
        <v>0.43752878764658476</v>
      </c>
    </row>
    <row r="10" spans="2:5" x14ac:dyDescent="0.3">
      <c r="B10" s="147" t="s">
        <v>145</v>
      </c>
      <c r="C10" s="122">
        <v>0.23663897787139443</v>
      </c>
      <c r="D10" s="119">
        <v>0.20175020113083594</v>
      </c>
      <c r="E10" s="116">
        <v>0.55085527554525548</v>
      </c>
    </row>
    <row r="11" spans="2:5" ht="15" thickBot="1" x14ac:dyDescent="0.35">
      <c r="B11" s="145" t="s">
        <v>146</v>
      </c>
      <c r="C11" s="149">
        <v>0.23971691896665814</v>
      </c>
      <c r="D11" s="144">
        <v>0.18816383255422131</v>
      </c>
      <c r="E11" s="142">
        <v>0.58198828251938184</v>
      </c>
    </row>
    <row r="12" spans="2:5" x14ac:dyDescent="0.3">
      <c r="B12" s="147" t="s">
        <v>147</v>
      </c>
      <c r="C12" s="143">
        <v>0.22036461107767602</v>
      </c>
      <c r="D12" s="138">
        <v>0.1953049898385508</v>
      </c>
      <c r="E12" s="140">
        <v>0.4614264386636146</v>
      </c>
    </row>
    <row r="13" spans="2:5" x14ac:dyDescent="0.3">
      <c r="B13" s="147" t="s">
        <v>148</v>
      </c>
      <c r="C13" s="122">
        <v>0.22035719500004491</v>
      </c>
      <c r="D13" s="119">
        <v>0.20302244672474284</v>
      </c>
      <c r="E13" s="116">
        <v>0.39457503283452583</v>
      </c>
    </row>
    <row r="14" spans="2:5" x14ac:dyDescent="0.3">
      <c r="B14" s="147" t="s">
        <v>149</v>
      </c>
      <c r="C14" s="122">
        <v>0.21157814908532724</v>
      </c>
      <c r="D14" s="119">
        <v>0.24950470121911822</v>
      </c>
      <c r="E14" s="116">
        <v>0.34344612241935896</v>
      </c>
    </row>
    <row r="15" spans="2:5" x14ac:dyDescent="0.3">
      <c r="B15" s="147" t="s">
        <v>150</v>
      </c>
      <c r="C15" s="122">
        <v>0.20068655090419929</v>
      </c>
      <c r="D15" s="119">
        <v>0.22942859038944452</v>
      </c>
      <c r="E15" s="116">
        <v>0.26494890021703477</v>
      </c>
    </row>
    <row r="16" spans="2:5" ht="15" thickBot="1" x14ac:dyDescent="0.35">
      <c r="B16" s="145" t="s">
        <v>151</v>
      </c>
      <c r="C16" s="123">
        <v>7.9457858477589127E-2</v>
      </c>
      <c r="D16" s="120">
        <v>0.23197177477737921</v>
      </c>
      <c r="E16" s="117">
        <v>-0.18320613718443449</v>
      </c>
    </row>
  </sheetData>
  <mergeCells count="1">
    <mergeCell ref="B2:E2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19149-A58F-46CF-8973-42B960C7DA0B}">
  <dimension ref="B1:E16"/>
  <sheetViews>
    <sheetView workbookViewId="0">
      <selection activeCell="B2" sqref="B2:E16"/>
    </sheetView>
  </sheetViews>
  <sheetFormatPr defaultRowHeight="14.4" x14ac:dyDescent="0.3"/>
  <cols>
    <col min="2" max="2" width="16.44140625" style="2" customWidth="1"/>
    <col min="3" max="5" width="16.44140625" style="1" customWidth="1"/>
  </cols>
  <sheetData>
    <row r="1" spans="2:5" ht="15" thickBot="1" x14ac:dyDescent="0.35"/>
    <row r="2" spans="2:5" s="130" customFormat="1" ht="15" thickBot="1" x14ac:dyDescent="0.35">
      <c r="B2" s="172" t="s">
        <v>156</v>
      </c>
      <c r="C2" s="176"/>
      <c r="D2" s="176"/>
      <c r="E2" s="173"/>
    </row>
    <row r="3" spans="2:5" s="130" customFormat="1" ht="15" thickBot="1" x14ac:dyDescent="0.35">
      <c r="B3" s="145" t="s">
        <v>138</v>
      </c>
      <c r="C3" s="59" t="s">
        <v>120</v>
      </c>
      <c r="D3" s="59" t="s">
        <v>131</v>
      </c>
      <c r="E3" s="146" t="s">
        <v>130</v>
      </c>
    </row>
    <row r="4" spans="2:5" x14ac:dyDescent="0.3">
      <c r="B4" s="147" t="s">
        <v>139</v>
      </c>
      <c r="C4" s="119">
        <v>0.13851799580585422</v>
      </c>
      <c r="D4" s="119">
        <v>1.7690999999999998E-2</v>
      </c>
      <c r="E4" s="116"/>
    </row>
    <row r="5" spans="2:5" x14ac:dyDescent="0.3">
      <c r="B5" s="147" t="s">
        <v>140</v>
      </c>
      <c r="C5" s="119">
        <v>0.11932897589833535</v>
      </c>
      <c r="D5" s="119">
        <v>0.2722</v>
      </c>
      <c r="E5" s="116">
        <v>-7.0496031989415384E-2</v>
      </c>
    </row>
    <row r="6" spans="2:5" ht="15" thickBot="1" x14ac:dyDescent="0.35">
      <c r="B6" s="145" t="s">
        <v>141</v>
      </c>
      <c r="C6" s="120">
        <v>0.14320424815235988</v>
      </c>
      <c r="D6" s="120">
        <v>0.25516100000000003</v>
      </c>
      <c r="E6" s="117">
        <v>1.8365864479703634E-2</v>
      </c>
    </row>
    <row r="7" spans="2:5" x14ac:dyDescent="0.3">
      <c r="B7" s="147" t="s">
        <v>142</v>
      </c>
      <c r="C7" s="119">
        <v>0.20605365462220604</v>
      </c>
      <c r="D7" s="119">
        <v>0.23606144637383222</v>
      </c>
      <c r="E7" s="116">
        <v>0.28609355679961745</v>
      </c>
    </row>
    <row r="8" spans="2:5" x14ac:dyDescent="0.3">
      <c r="B8" s="147" t="s">
        <v>143</v>
      </c>
      <c r="C8" s="119">
        <v>0.22257369933164006</v>
      </c>
      <c r="D8" s="119">
        <v>0.18443274208140165</v>
      </c>
      <c r="E8" s="116">
        <v>0.45575260974370174</v>
      </c>
    </row>
    <row r="9" spans="2:5" x14ac:dyDescent="0.3">
      <c r="B9" s="147" t="s">
        <v>144</v>
      </c>
      <c r="C9" s="119">
        <v>0.22424265758257045</v>
      </c>
      <c r="D9" s="119">
        <v>0.17671492562522909</v>
      </c>
      <c r="E9" s="116">
        <v>0.48510142238080178</v>
      </c>
    </row>
    <row r="10" spans="2:5" x14ac:dyDescent="0.3">
      <c r="B10" s="147" t="s">
        <v>145</v>
      </c>
      <c r="C10" s="119">
        <v>0.22415388828881433</v>
      </c>
      <c r="D10" s="119">
        <v>0.17279107737739011</v>
      </c>
      <c r="E10" s="116">
        <v>0.49560367226557761</v>
      </c>
    </row>
    <row r="11" spans="2:5" ht="15" thickBot="1" x14ac:dyDescent="0.35">
      <c r="B11" s="145" t="s">
        <v>146</v>
      </c>
      <c r="C11" s="144">
        <v>0.22809976197390602</v>
      </c>
      <c r="D11" s="144">
        <v>0.17097916078090697</v>
      </c>
      <c r="E11" s="142">
        <v>0.5239338277185841</v>
      </c>
    </row>
    <row r="12" spans="2:5" x14ac:dyDescent="0.3">
      <c r="B12" s="147" t="s">
        <v>147</v>
      </c>
      <c r="C12" s="119">
        <v>0.211667054143305</v>
      </c>
      <c r="D12" s="138">
        <v>0.17826547299545681</v>
      </c>
      <c r="E12" s="116">
        <v>0.4103377794269506</v>
      </c>
    </row>
    <row r="13" spans="2:5" x14ac:dyDescent="0.3">
      <c r="B13" s="147" t="s">
        <v>148</v>
      </c>
      <c r="C13" s="138">
        <v>0.23845934856205475</v>
      </c>
      <c r="D13" s="119">
        <v>0.20708895105147815</v>
      </c>
      <c r="E13" s="140">
        <v>0.48260108638706234</v>
      </c>
    </row>
    <row r="14" spans="2:5" x14ac:dyDescent="0.3">
      <c r="B14" s="147" t="s">
        <v>149</v>
      </c>
      <c r="C14" s="119">
        <v>0.22099140467278566</v>
      </c>
      <c r="D14" s="119">
        <v>0.20719321918862538</v>
      </c>
      <c r="E14" s="116">
        <v>0.39805071415898496</v>
      </c>
    </row>
    <row r="15" spans="2:5" x14ac:dyDescent="0.3">
      <c r="B15" s="147" t="s">
        <v>150</v>
      </c>
      <c r="C15" s="119">
        <v>0.15826987853543439</v>
      </c>
      <c r="D15" s="119">
        <v>0.22432411536012756</v>
      </c>
      <c r="E15" s="116">
        <v>8.8050643587162747E-2</v>
      </c>
    </row>
    <row r="16" spans="2:5" ht="15" thickBot="1" x14ac:dyDescent="0.35">
      <c r="B16" s="145" t="s">
        <v>151</v>
      </c>
      <c r="C16" s="120">
        <v>0.10452838563059541</v>
      </c>
      <c r="D16" s="120">
        <v>0.32037980541928129</v>
      </c>
      <c r="E16" s="117">
        <v>-0.10609161251838761</v>
      </c>
    </row>
  </sheetData>
  <mergeCells count="1">
    <mergeCell ref="B2:E2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4B795-8207-407B-A4AB-0F4CA634DB08}">
  <dimension ref="B1:E16"/>
  <sheetViews>
    <sheetView workbookViewId="0">
      <selection activeCell="B2" sqref="B2:E16"/>
    </sheetView>
  </sheetViews>
  <sheetFormatPr defaultRowHeight="14.4" x14ac:dyDescent="0.3"/>
  <cols>
    <col min="2" max="2" width="16.44140625" style="2" customWidth="1"/>
    <col min="3" max="5" width="16.44140625" style="1" customWidth="1"/>
  </cols>
  <sheetData>
    <row r="1" spans="2:5" ht="15" thickBot="1" x14ac:dyDescent="0.35"/>
    <row r="2" spans="2:5" ht="15" thickBot="1" x14ac:dyDescent="0.35">
      <c r="B2" s="172" t="s">
        <v>155</v>
      </c>
      <c r="C2" s="176"/>
      <c r="D2" s="176"/>
      <c r="E2" s="173"/>
    </row>
    <row r="3" spans="2:5" ht="15" thickBot="1" x14ac:dyDescent="0.35">
      <c r="B3" s="145" t="s">
        <v>138</v>
      </c>
      <c r="C3" s="59" t="s">
        <v>120</v>
      </c>
      <c r="D3" s="148" t="s">
        <v>131</v>
      </c>
      <c r="E3" s="59" t="s">
        <v>130</v>
      </c>
    </row>
    <row r="4" spans="2:5" x14ac:dyDescent="0.3">
      <c r="B4" s="147" t="s">
        <v>139</v>
      </c>
      <c r="C4" s="126">
        <v>0.13851799580585422</v>
      </c>
      <c r="D4" s="133">
        <v>1.7690999999999998E-2</v>
      </c>
      <c r="E4" s="125"/>
    </row>
    <row r="5" spans="2:5" x14ac:dyDescent="0.3">
      <c r="B5" s="147" t="s">
        <v>140</v>
      </c>
      <c r="C5" s="119">
        <v>0.11932897589833535</v>
      </c>
      <c r="D5" s="134">
        <v>0.2722</v>
      </c>
      <c r="E5" s="116">
        <v>-7.0496031989415384E-2</v>
      </c>
    </row>
    <row r="6" spans="2:5" ht="15" thickBot="1" x14ac:dyDescent="0.35">
      <c r="B6" s="145" t="s">
        <v>141</v>
      </c>
      <c r="C6" s="120">
        <v>0.14320424815235988</v>
      </c>
      <c r="D6" s="135">
        <v>0.25516100000000003</v>
      </c>
      <c r="E6" s="117">
        <v>1.8365864479703634E-2</v>
      </c>
    </row>
    <row r="7" spans="2:5" x14ac:dyDescent="0.3">
      <c r="B7" s="147" t="s">
        <v>142</v>
      </c>
      <c r="C7" s="138">
        <v>0.3169551624697029</v>
      </c>
      <c r="D7" s="134">
        <v>0.27647640777702881</v>
      </c>
      <c r="E7" s="116">
        <v>0.64539744312561276</v>
      </c>
    </row>
    <row r="8" spans="2:5" x14ac:dyDescent="0.3">
      <c r="B8" s="147" t="s">
        <v>143</v>
      </c>
      <c r="C8" s="119">
        <v>0.31583660896191845</v>
      </c>
      <c r="D8" s="134">
        <v>0.23099595621588417</v>
      </c>
      <c r="E8" s="116">
        <v>0.76762648169626757</v>
      </c>
    </row>
    <row r="9" spans="2:5" x14ac:dyDescent="0.3">
      <c r="B9" s="147" t="s">
        <v>144</v>
      </c>
      <c r="C9" s="119">
        <v>0.28685912052391194</v>
      </c>
      <c r="D9" s="134">
        <v>0.21213983553896848</v>
      </c>
      <c r="E9" s="116">
        <v>0.69926105269751926</v>
      </c>
    </row>
    <row r="10" spans="2:5" x14ac:dyDescent="0.3">
      <c r="B10" s="147" t="s">
        <v>145</v>
      </c>
      <c r="C10" s="119">
        <v>0.30225407047199626</v>
      </c>
      <c r="D10" s="134">
        <v>0.20638487285171406</v>
      </c>
      <c r="E10" s="140">
        <v>0.79335308059997767</v>
      </c>
    </row>
    <row r="11" spans="2:5" ht="15" thickBot="1" x14ac:dyDescent="0.35">
      <c r="B11" s="145" t="s">
        <v>146</v>
      </c>
      <c r="C11" s="120">
        <v>0.28492984441718283</v>
      </c>
      <c r="D11" s="139">
        <v>0.19557299113924106</v>
      </c>
      <c r="E11" s="117">
        <v>0.74863020582984563</v>
      </c>
    </row>
    <row r="12" spans="2:5" x14ac:dyDescent="0.3">
      <c r="B12" s="147" t="s">
        <v>147</v>
      </c>
      <c r="C12" s="138">
        <v>0.28377987565602214</v>
      </c>
      <c r="D12" s="141">
        <v>0.20338670420428787</v>
      </c>
      <c r="E12" s="140">
        <v>0.71421522079566424</v>
      </c>
    </row>
    <row r="13" spans="2:5" x14ac:dyDescent="0.3">
      <c r="B13" s="147" t="s">
        <v>148</v>
      </c>
      <c r="C13" s="119">
        <v>0.25804470513852551</v>
      </c>
      <c r="D13" s="134">
        <v>0.20416791167250031</v>
      </c>
      <c r="E13" s="116">
        <v>0.58543337370468151</v>
      </c>
    </row>
    <row r="14" spans="2:5" x14ac:dyDescent="0.3">
      <c r="B14" s="147" t="s">
        <v>149</v>
      </c>
      <c r="C14" s="119">
        <v>0.19015019447028614</v>
      </c>
      <c r="D14" s="134">
        <v>0.20659475766544202</v>
      </c>
      <c r="E14" s="116">
        <v>0.24992017826533966</v>
      </c>
    </row>
    <row r="15" spans="2:5" x14ac:dyDescent="0.3">
      <c r="B15" s="147" t="s">
        <v>150</v>
      </c>
      <c r="C15" s="119">
        <v>0.17014264846040517</v>
      </c>
      <c r="D15" s="134">
        <v>0.26452234147597126</v>
      </c>
      <c r="E15" s="116">
        <v>0.11955380584525664</v>
      </c>
    </row>
    <row r="16" spans="2:5" ht="15" thickBot="1" x14ac:dyDescent="0.35">
      <c r="B16" s="145" t="s">
        <v>151</v>
      </c>
      <c r="C16" s="120">
        <v>8.5928315551371925E-2</v>
      </c>
      <c r="D16" s="135">
        <v>0.22685472737038778</v>
      </c>
      <c r="E16" s="117">
        <v>-0.23182095812629308</v>
      </c>
    </row>
  </sheetData>
  <mergeCells count="1">
    <mergeCell ref="B2:E2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CA653-0C23-46AF-9594-D4996EA7C743}">
  <dimension ref="B1:E16"/>
  <sheetViews>
    <sheetView workbookViewId="0">
      <selection activeCell="B2" sqref="B2:E16"/>
    </sheetView>
  </sheetViews>
  <sheetFormatPr defaultRowHeight="14.4" x14ac:dyDescent="0.3"/>
  <cols>
    <col min="2" max="2" width="16.44140625" style="2" customWidth="1"/>
    <col min="3" max="5" width="16.44140625" style="1" customWidth="1"/>
  </cols>
  <sheetData>
    <row r="1" spans="2:5" ht="15" thickBot="1" x14ac:dyDescent="0.35"/>
    <row r="2" spans="2:5" ht="15" thickBot="1" x14ac:dyDescent="0.35">
      <c r="B2" s="172" t="s">
        <v>154</v>
      </c>
      <c r="C2" s="176"/>
      <c r="D2" s="176"/>
      <c r="E2" s="173"/>
    </row>
    <row r="3" spans="2:5" ht="15" thickBot="1" x14ac:dyDescent="0.35">
      <c r="B3" s="145" t="s">
        <v>138</v>
      </c>
      <c r="C3" s="136" t="s">
        <v>120</v>
      </c>
      <c r="D3" s="59" t="s">
        <v>131</v>
      </c>
      <c r="E3" s="146" t="s">
        <v>130</v>
      </c>
    </row>
    <row r="4" spans="2:5" x14ac:dyDescent="0.3">
      <c r="B4" s="147" t="s">
        <v>139</v>
      </c>
      <c r="C4" s="122">
        <v>0.13851799580585422</v>
      </c>
      <c r="D4" s="119">
        <v>1.7690999999999998E-2</v>
      </c>
      <c r="E4" s="116"/>
    </row>
    <row r="5" spans="2:5" x14ac:dyDescent="0.3">
      <c r="B5" s="147" t="s">
        <v>140</v>
      </c>
      <c r="C5" s="122">
        <v>0.11932897589833535</v>
      </c>
      <c r="D5" s="119">
        <v>0.2722</v>
      </c>
      <c r="E5" s="116">
        <v>-7.0496031989415384E-2</v>
      </c>
    </row>
    <row r="6" spans="2:5" ht="15" thickBot="1" x14ac:dyDescent="0.35">
      <c r="B6" s="145" t="s">
        <v>141</v>
      </c>
      <c r="C6" s="123">
        <v>0.14320424815235988</v>
      </c>
      <c r="D6" s="120">
        <v>0.25516100000000003</v>
      </c>
      <c r="E6" s="117">
        <v>1.8365864479703634E-2</v>
      </c>
    </row>
    <row r="7" spans="2:5" x14ac:dyDescent="0.3">
      <c r="B7" s="147" t="s">
        <v>142</v>
      </c>
      <c r="C7" s="143">
        <v>0.30060191815028414</v>
      </c>
      <c r="D7" s="119">
        <v>0.26189826793482474</v>
      </c>
      <c r="E7" s="116">
        <v>0.61888123057295541</v>
      </c>
    </row>
    <row r="8" spans="2:5" x14ac:dyDescent="0.3">
      <c r="B8" s="147" t="s">
        <v>143</v>
      </c>
      <c r="C8" s="122">
        <v>0.29715341248127602</v>
      </c>
      <c r="D8" s="119">
        <v>0.22004739953178595</v>
      </c>
      <c r="E8" s="140">
        <v>0.72091475297124263</v>
      </c>
    </row>
    <row r="9" spans="2:5" x14ac:dyDescent="0.3">
      <c r="B9" s="147" t="s">
        <v>144</v>
      </c>
      <c r="C9" s="122">
        <v>0.26912481473438854</v>
      </c>
      <c r="D9" s="119">
        <v>0.19974188513489954</v>
      </c>
      <c r="E9" s="116">
        <v>0.6538779727663353</v>
      </c>
    </row>
    <row r="10" spans="2:5" x14ac:dyDescent="0.3">
      <c r="B10" s="147" t="s">
        <v>145</v>
      </c>
      <c r="C10" s="122">
        <v>0.27279206593407124</v>
      </c>
      <c r="D10" s="119">
        <v>0.19096060572077597</v>
      </c>
      <c r="E10" s="116">
        <v>0.70315062953116925</v>
      </c>
    </row>
    <row r="11" spans="2:5" ht="15" thickBot="1" x14ac:dyDescent="0.35">
      <c r="B11" s="145" t="s">
        <v>146</v>
      </c>
      <c r="C11" s="123">
        <v>0.27071166935078472</v>
      </c>
      <c r="D11" s="144">
        <v>0.18575050438157423</v>
      </c>
      <c r="E11" s="117">
        <v>0.7116732952357121</v>
      </c>
    </row>
    <row r="12" spans="2:5" x14ac:dyDescent="0.3">
      <c r="B12" s="147" t="s">
        <v>147</v>
      </c>
      <c r="C12" s="143">
        <v>0.2778961639879256</v>
      </c>
      <c r="D12" s="138">
        <v>0.19352408617523331</v>
      </c>
      <c r="E12" s="140">
        <v>0.72021096152272457</v>
      </c>
    </row>
    <row r="13" spans="2:5" x14ac:dyDescent="0.3">
      <c r="B13" s="147" t="s">
        <v>148</v>
      </c>
      <c r="C13" s="122">
        <v>0.21608508169629825</v>
      </c>
      <c r="D13" s="119">
        <v>0.19762277149084556</v>
      </c>
      <c r="E13" s="116">
        <v>0.39250074930781526</v>
      </c>
    </row>
    <row r="14" spans="2:5" x14ac:dyDescent="0.3">
      <c r="B14" s="147" t="s">
        <v>149</v>
      </c>
      <c r="C14" s="122">
        <v>0.18568152463542265</v>
      </c>
      <c r="D14" s="119">
        <v>0.20510332555970265</v>
      </c>
      <c r="E14" s="116">
        <v>0.22995009320723955</v>
      </c>
    </row>
    <row r="15" spans="2:5" x14ac:dyDescent="0.3">
      <c r="B15" s="147" t="s">
        <v>150</v>
      </c>
      <c r="C15" s="122">
        <v>0.14926152221778044</v>
      </c>
      <c r="D15" s="119">
        <v>0.22635560538096713</v>
      </c>
      <c r="E15" s="116">
        <v>4.7463045564276433E-2</v>
      </c>
    </row>
    <row r="16" spans="2:5" ht="15" thickBot="1" x14ac:dyDescent="0.35">
      <c r="B16" s="145" t="s">
        <v>151</v>
      </c>
      <c r="C16" s="123">
        <v>0.10726877862902495</v>
      </c>
      <c r="D16" s="120">
        <v>0.30060262857959535</v>
      </c>
      <c r="E16" s="117">
        <v>-0.10395523593551982</v>
      </c>
    </row>
  </sheetData>
  <mergeCells count="1">
    <mergeCell ref="B2:E2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FD950-88AB-40A3-A8E5-9605DA76D1BC}">
  <dimension ref="B1:E16"/>
  <sheetViews>
    <sheetView workbookViewId="0">
      <selection activeCell="B2" sqref="B2:E16"/>
    </sheetView>
  </sheetViews>
  <sheetFormatPr defaultRowHeight="14.4" x14ac:dyDescent="0.3"/>
  <cols>
    <col min="2" max="2" width="16.44140625" style="2" customWidth="1"/>
    <col min="3" max="5" width="16.44140625" style="1" customWidth="1"/>
  </cols>
  <sheetData>
    <row r="1" spans="2:5" ht="15" thickBot="1" x14ac:dyDescent="0.35"/>
    <row r="2" spans="2:5" ht="15" thickBot="1" x14ac:dyDescent="0.35">
      <c r="B2" s="172" t="s">
        <v>153</v>
      </c>
      <c r="C2" s="176"/>
      <c r="D2" s="176"/>
      <c r="E2" s="173"/>
    </row>
    <row r="3" spans="2:5" ht="15" thickBot="1" x14ac:dyDescent="0.35">
      <c r="B3" s="145" t="s">
        <v>138</v>
      </c>
      <c r="C3" s="59" t="s">
        <v>120</v>
      </c>
      <c r="D3" s="59" t="s">
        <v>131</v>
      </c>
      <c r="E3" s="146" t="s">
        <v>130</v>
      </c>
    </row>
    <row r="4" spans="2:5" x14ac:dyDescent="0.3">
      <c r="B4" s="147" t="s">
        <v>139</v>
      </c>
      <c r="C4" s="119">
        <v>0.13851799580585422</v>
      </c>
      <c r="D4" s="119">
        <v>1.7690999999999998E-2</v>
      </c>
      <c r="E4" s="116"/>
    </row>
    <row r="5" spans="2:5" x14ac:dyDescent="0.3">
      <c r="B5" s="147" t="s">
        <v>140</v>
      </c>
      <c r="C5" s="119">
        <v>0.11932897589833535</v>
      </c>
      <c r="D5" s="119">
        <v>0.2722</v>
      </c>
      <c r="E5" s="116">
        <v>-7.0496031989415384E-2</v>
      </c>
    </row>
    <row r="6" spans="2:5" ht="15" thickBot="1" x14ac:dyDescent="0.35">
      <c r="B6" s="145" t="s">
        <v>141</v>
      </c>
      <c r="C6" s="120">
        <v>0.14320424815235988</v>
      </c>
      <c r="D6" s="120">
        <v>0.25516100000000003</v>
      </c>
      <c r="E6" s="117">
        <v>1.8365864479703634E-2</v>
      </c>
    </row>
    <row r="7" spans="2:5" x14ac:dyDescent="0.3">
      <c r="B7" s="147" t="s">
        <v>142</v>
      </c>
      <c r="C7" s="138">
        <v>0.30512785976862378</v>
      </c>
      <c r="D7" s="119">
        <v>0.26947603645181478</v>
      </c>
      <c r="E7" s="116">
        <v>0.6182733951282573</v>
      </c>
    </row>
    <row r="8" spans="2:5" x14ac:dyDescent="0.3">
      <c r="B8" s="147" t="s">
        <v>143</v>
      </c>
      <c r="C8" s="119">
        <v>0.27455686319425543</v>
      </c>
      <c r="D8" s="119">
        <v>0.21652773909011527</v>
      </c>
      <c r="E8" s="116">
        <v>0.62827454791731818</v>
      </c>
    </row>
    <row r="9" spans="2:5" x14ac:dyDescent="0.3">
      <c r="B9" s="147" t="s">
        <v>144</v>
      </c>
      <c r="C9" s="119">
        <v>0.27071914702437461</v>
      </c>
      <c r="D9" s="119">
        <v>0.20871449242160306</v>
      </c>
      <c r="E9" s="116">
        <v>0.63340666805002788</v>
      </c>
    </row>
    <row r="10" spans="2:5" x14ac:dyDescent="0.3">
      <c r="B10" s="147" t="s">
        <v>145</v>
      </c>
      <c r="C10" s="119">
        <v>0.26798446226915829</v>
      </c>
      <c r="D10" s="119">
        <v>0.19915039998764006</v>
      </c>
      <c r="E10" s="116">
        <v>0.65009393137718618</v>
      </c>
    </row>
    <row r="11" spans="2:5" ht="15" thickBot="1" x14ac:dyDescent="0.35">
      <c r="B11" s="145" t="s">
        <v>146</v>
      </c>
      <c r="C11" s="120">
        <v>0.2754868815185989</v>
      </c>
      <c r="D11" s="144">
        <v>0.19207187456959071</v>
      </c>
      <c r="E11" s="142">
        <v>0.71311266170372412</v>
      </c>
    </row>
    <row r="12" spans="2:5" x14ac:dyDescent="0.3">
      <c r="B12" s="147" t="s">
        <v>147</v>
      </c>
      <c r="C12" s="138">
        <v>0.27706154505260194</v>
      </c>
      <c r="D12" s="138">
        <v>0.19909123977486512</v>
      </c>
      <c r="E12" s="140">
        <v>0.69587968513036791</v>
      </c>
    </row>
    <row r="13" spans="2:5" x14ac:dyDescent="0.3">
      <c r="B13" s="147" t="s">
        <v>148</v>
      </c>
      <c r="C13" s="119">
        <v>0.22812134110075699</v>
      </c>
      <c r="D13" s="119">
        <v>0.20173776768334353</v>
      </c>
      <c r="E13" s="116">
        <v>0.44415751360720973</v>
      </c>
    </row>
    <row r="14" spans="2:5" x14ac:dyDescent="0.3">
      <c r="B14" s="147" t="s">
        <v>149</v>
      </c>
      <c r="C14" s="119">
        <v>0.19212212265065109</v>
      </c>
      <c r="D14" s="119">
        <v>0.2093895403330564</v>
      </c>
      <c r="E14" s="116">
        <v>0.25600193189943388</v>
      </c>
    </row>
    <row r="15" spans="2:5" x14ac:dyDescent="0.3">
      <c r="B15" s="147" t="s">
        <v>150</v>
      </c>
      <c r="C15" s="119">
        <v>0.15230839602818658</v>
      </c>
      <c r="D15" s="119">
        <v>0.20976991943199771</v>
      </c>
      <c r="E15" s="116">
        <v>6.5740599317924919E-2</v>
      </c>
    </row>
    <row r="16" spans="2:5" ht="15" thickBot="1" x14ac:dyDescent="0.35">
      <c r="B16" s="145" t="s">
        <v>151</v>
      </c>
      <c r="C16" s="120">
        <v>0.11744854420135509</v>
      </c>
      <c r="D16" s="120">
        <v>0.28712667867555003</v>
      </c>
      <c r="E16" s="117">
        <v>-7.3380334080022508E-2</v>
      </c>
    </row>
  </sheetData>
  <mergeCells count="1">
    <mergeCell ref="B2:E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retornos</vt:lpstr>
      <vt:lpstr>Planilha2</vt:lpstr>
      <vt:lpstr>Planilha1</vt:lpstr>
      <vt:lpstr>MARKOWITZ</vt:lpstr>
      <vt:lpstr>MF1</vt:lpstr>
      <vt:lpstr>MF2</vt:lpstr>
      <vt:lpstr>MF3</vt:lpstr>
      <vt:lpstr>MF4</vt:lpstr>
      <vt:lpstr>MF5</vt:lpstr>
      <vt:lpstr>MF6</vt:lpstr>
      <vt:lpstr>MF7</vt:lpstr>
      <vt:lpstr>MF8</vt:lpstr>
      <vt:lpstr>MF9</vt:lpstr>
      <vt:lpstr>MF10</vt:lpstr>
      <vt:lpstr>MF11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Antonio Jungblut</cp:lastModifiedBy>
  <dcterms:created xsi:type="dcterms:W3CDTF">2025-10-10T19:22:41Z</dcterms:created>
  <dcterms:modified xsi:type="dcterms:W3CDTF">2025-11-27T20:48:48Z</dcterms:modified>
</cp:coreProperties>
</file>