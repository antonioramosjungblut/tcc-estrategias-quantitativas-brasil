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nton\OneDrive\Área de Trabalho\TCC\data_sets_atualizados\"/>
    </mc:Choice>
  </mc:AlternateContent>
  <xr:revisionPtr revIDLastSave="0" documentId="13_ncr:1_{7F13D57B-D3E2-46B7-BC63-97BB32D82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I 252 dias" sheetId="1" r:id="rId1"/>
    <sheet name="CDI Acumulado" sheetId="2" r:id="rId2"/>
    <sheet name="IBOV" sheetId="3" r:id="rId3"/>
    <sheet name="IBXL" sheetId="4" r:id="rId4"/>
    <sheet name="IBX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3" i="1" l="1"/>
  <c r="C3" i="5"/>
  <c r="C2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20" i="5"/>
  <c r="D2" i="3"/>
  <c r="C2" i="3"/>
  <c r="C2" i="2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20" i="3"/>
  <c r="D3" i="2"/>
  <c r="D2" i="2"/>
  <c r="C3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20" i="2"/>
  <c r="F19" i="3"/>
  <c r="G19" i="3" s="1"/>
  <c r="F367" i="3"/>
  <c r="G367" i="3" s="1"/>
  <c r="F355" i="3"/>
  <c r="G355" i="3" s="1"/>
  <c r="F332" i="1"/>
  <c r="F320" i="1" s="1"/>
  <c r="F308" i="1" s="1"/>
  <c r="F296" i="1" s="1"/>
  <c r="F284" i="1" s="1"/>
  <c r="F272" i="1" s="1"/>
  <c r="F260" i="1" s="1"/>
  <c r="F248" i="1" s="1"/>
  <c r="F236" i="1" s="1"/>
  <c r="F224" i="1" s="1"/>
  <c r="F212" i="1" s="1"/>
  <c r="F200" i="1" s="1"/>
  <c r="F188" i="1" s="1"/>
  <c r="F176" i="1" s="1"/>
  <c r="F164" i="1" s="1"/>
  <c r="F152" i="1" s="1"/>
  <c r="F140" i="1" s="1"/>
  <c r="F128" i="1" s="1"/>
  <c r="F116" i="1" s="1"/>
  <c r="F104" i="1" s="1"/>
  <c r="F92" i="1" s="1"/>
  <c r="F80" i="1" s="1"/>
  <c r="F68" i="1" s="1"/>
  <c r="F56" i="1" s="1"/>
  <c r="F44" i="1" s="1"/>
  <c r="F32" i="1" s="1"/>
  <c r="F20" i="1" s="1"/>
  <c r="F8" i="1" s="1"/>
  <c r="F333" i="1"/>
  <c r="F321" i="1" s="1"/>
  <c r="F309" i="1" s="1"/>
  <c r="F297" i="1" s="1"/>
  <c r="F285" i="1" s="1"/>
  <c r="F273" i="1" s="1"/>
  <c r="F261" i="1" s="1"/>
  <c r="F249" i="1" s="1"/>
  <c r="F237" i="1" s="1"/>
  <c r="F225" i="1" s="1"/>
  <c r="F213" i="1" s="1"/>
  <c r="F201" i="1" s="1"/>
  <c r="F189" i="1" s="1"/>
  <c r="F177" i="1" s="1"/>
  <c r="F165" i="1" s="1"/>
  <c r="F153" i="1" s="1"/>
  <c r="F141" i="1" s="1"/>
  <c r="F129" i="1" s="1"/>
  <c r="F117" i="1" s="1"/>
  <c r="F105" i="1" s="1"/>
  <c r="F93" i="1" s="1"/>
  <c r="F81" i="1" s="1"/>
  <c r="F69" i="1" s="1"/>
  <c r="F57" i="1" s="1"/>
  <c r="F45" i="1" s="1"/>
  <c r="F33" i="1" s="1"/>
  <c r="F21" i="1" s="1"/>
  <c r="F9" i="1" s="1"/>
  <c r="F334" i="1"/>
  <c r="F322" i="1" s="1"/>
  <c r="F310" i="1" s="1"/>
  <c r="F298" i="1" s="1"/>
  <c r="F286" i="1" s="1"/>
  <c r="F274" i="1" s="1"/>
  <c r="F262" i="1" s="1"/>
  <c r="F250" i="1" s="1"/>
  <c r="F238" i="1" s="1"/>
  <c r="F226" i="1" s="1"/>
  <c r="F214" i="1" s="1"/>
  <c r="F202" i="1" s="1"/>
  <c r="F190" i="1" s="1"/>
  <c r="F178" i="1" s="1"/>
  <c r="F166" i="1" s="1"/>
  <c r="F154" i="1" s="1"/>
  <c r="F142" i="1" s="1"/>
  <c r="F130" i="1" s="1"/>
  <c r="F118" i="1" s="1"/>
  <c r="F106" i="1" s="1"/>
  <c r="F94" i="1" s="1"/>
  <c r="F82" i="1" s="1"/>
  <c r="F70" i="1" s="1"/>
  <c r="F58" i="1" s="1"/>
  <c r="F46" i="1" s="1"/>
  <c r="F34" i="1" s="1"/>
  <c r="F22" i="1" s="1"/>
  <c r="F10" i="1" s="1"/>
  <c r="F335" i="1"/>
  <c r="F323" i="1" s="1"/>
  <c r="F311" i="1" s="1"/>
  <c r="F299" i="1" s="1"/>
  <c r="F287" i="1" s="1"/>
  <c r="F275" i="1" s="1"/>
  <c r="F263" i="1" s="1"/>
  <c r="F251" i="1" s="1"/>
  <c r="F239" i="1" s="1"/>
  <c r="F227" i="1" s="1"/>
  <c r="F215" i="1" s="1"/>
  <c r="F203" i="1" s="1"/>
  <c r="F191" i="1" s="1"/>
  <c r="F179" i="1" s="1"/>
  <c r="F167" i="1" s="1"/>
  <c r="F155" i="1" s="1"/>
  <c r="F143" i="1" s="1"/>
  <c r="F131" i="1" s="1"/>
  <c r="F119" i="1" s="1"/>
  <c r="F107" i="1" s="1"/>
  <c r="F95" i="1" s="1"/>
  <c r="F83" i="1" s="1"/>
  <c r="F71" i="1" s="1"/>
  <c r="F59" i="1" s="1"/>
  <c r="F47" i="1" s="1"/>
  <c r="F35" i="1" s="1"/>
  <c r="F23" i="1" s="1"/>
  <c r="F11" i="1" s="1"/>
  <c r="F336" i="1"/>
  <c r="F324" i="1" s="1"/>
  <c r="F312" i="1" s="1"/>
  <c r="F300" i="1" s="1"/>
  <c r="F288" i="1" s="1"/>
  <c r="F276" i="1" s="1"/>
  <c r="F264" i="1" s="1"/>
  <c r="F252" i="1" s="1"/>
  <c r="F240" i="1" s="1"/>
  <c r="F228" i="1" s="1"/>
  <c r="F216" i="1" s="1"/>
  <c r="F204" i="1" s="1"/>
  <c r="F192" i="1" s="1"/>
  <c r="F180" i="1" s="1"/>
  <c r="F168" i="1" s="1"/>
  <c r="F156" i="1" s="1"/>
  <c r="F144" i="1" s="1"/>
  <c r="F132" i="1" s="1"/>
  <c r="F120" i="1" s="1"/>
  <c r="F108" i="1" s="1"/>
  <c r="F96" i="1" s="1"/>
  <c r="F84" i="1" s="1"/>
  <c r="F72" i="1" s="1"/>
  <c r="F60" i="1" s="1"/>
  <c r="F48" i="1" s="1"/>
  <c r="F36" i="1" s="1"/>
  <c r="F24" i="1" s="1"/>
  <c r="F12" i="1" s="1"/>
  <c r="F337" i="1"/>
  <c r="F325" i="1" s="1"/>
  <c r="F313" i="1" s="1"/>
  <c r="F301" i="1" s="1"/>
  <c r="F289" i="1" s="1"/>
  <c r="F277" i="1" s="1"/>
  <c r="F265" i="1" s="1"/>
  <c r="F253" i="1" s="1"/>
  <c r="F241" i="1" s="1"/>
  <c r="F229" i="1" s="1"/>
  <c r="F217" i="1" s="1"/>
  <c r="F205" i="1" s="1"/>
  <c r="F193" i="1" s="1"/>
  <c r="F181" i="1" s="1"/>
  <c r="F169" i="1" s="1"/>
  <c r="F157" i="1" s="1"/>
  <c r="F145" i="1" s="1"/>
  <c r="F133" i="1" s="1"/>
  <c r="F121" i="1" s="1"/>
  <c r="F109" i="1" s="1"/>
  <c r="F97" i="1" s="1"/>
  <c r="F85" i="1" s="1"/>
  <c r="F73" i="1" s="1"/>
  <c r="F61" i="1" s="1"/>
  <c r="F49" i="1" s="1"/>
  <c r="F37" i="1" s="1"/>
  <c r="F25" i="1" s="1"/>
  <c r="F13" i="1" s="1"/>
  <c r="F338" i="1"/>
  <c r="F326" i="1" s="1"/>
  <c r="F314" i="1" s="1"/>
  <c r="F302" i="1" s="1"/>
  <c r="F290" i="1" s="1"/>
  <c r="F278" i="1" s="1"/>
  <c r="F266" i="1" s="1"/>
  <c r="F254" i="1" s="1"/>
  <c r="F242" i="1" s="1"/>
  <c r="F230" i="1" s="1"/>
  <c r="F218" i="1" s="1"/>
  <c r="F206" i="1" s="1"/>
  <c r="F194" i="1" s="1"/>
  <c r="F182" i="1" s="1"/>
  <c r="F170" i="1" s="1"/>
  <c r="F158" i="1" s="1"/>
  <c r="F146" i="1" s="1"/>
  <c r="F134" i="1" s="1"/>
  <c r="F122" i="1" s="1"/>
  <c r="F110" i="1" s="1"/>
  <c r="F98" i="1" s="1"/>
  <c r="F86" i="1" s="1"/>
  <c r="F74" i="1" s="1"/>
  <c r="F62" i="1" s="1"/>
  <c r="F50" i="1" s="1"/>
  <c r="F38" i="1" s="1"/>
  <c r="F26" i="1" s="1"/>
  <c r="F14" i="1" s="1"/>
  <c r="F339" i="1"/>
  <c r="F327" i="1" s="1"/>
  <c r="F315" i="1" s="1"/>
  <c r="F303" i="1" s="1"/>
  <c r="F291" i="1" s="1"/>
  <c r="F279" i="1" s="1"/>
  <c r="F267" i="1" s="1"/>
  <c r="F255" i="1" s="1"/>
  <c r="F243" i="1" s="1"/>
  <c r="F231" i="1" s="1"/>
  <c r="F219" i="1" s="1"/>
  <c r="F207" i="1" s="1"/>
  <c r="F195" i="1" s="1"/>
  <c r="F183" i="1" s="1"/>
  <c r="F171" i="1" s="1"/>
  <c r="F159" i="1" s="1"/>
  <c r="F147" i="1" s="1"/>
  <c r="F135" i="1" s="1"/>
  <c r="F123" i="1" s="1"/>
  <c r="F111" i="1" s="1"/>
  <c r="F99" i="1" s="1"/>
  <c r="F87" i="1" s="1"/>
  <c r="F75" i="1" s="1"/>
  <c r="F63" i="1" s="1"/>
  <c r="F51" i="1" s="1"/>
  <c r="F39" i="1" s="1"/>
  <c r="F27" i="1" s="1"/>
  <c r="F15" i="1" s="1"/>
  <c r="F340" i="1"/>
  <c r="F328" i="1" s="1"/>
  <c r="F316" i="1" s="1"/>
  <c r="F304" i="1" s="1"/>
  <c r="F292" i="1" s="1"/>
  <c r="F280" i="1" s="1"/>
  <c r="F268" i="1" s="1"/>
  <c r="F256" i="1" s="1"/>
  <c r="F244" i="1" s="1"/>
  <c r="F232" i="1" s="1"/>
  <c r="F220" i="1" s="1"/>
  <c r="F208" i="1" s="1"/>
  <c r="F196" i="1" s="1"/>
  <c r="F184" i="1" s="1"/>
  <c r="F172" i="1" s="1"/>
  <c r="F160" i="1" s="1"/>
  <c r="F148" i="1" s="1"/>
  <c r="F136" i="1" s="1"/>
  <c r="F124" i="1" s="1"/>
  <c r="F112" i="1" s="1"/>
  <c r="F100" i="1" s="1"/>
  <c r="F88" i="1" s="1"/>
  <c r="F76" i="1" s="1"/>
  <c r="F64" i="1" s="1"/>
  <c r="F52" i="1" s="1"/>
  <c r="F40" i="1" s="1"/>
  <c r="F28" i="1" s="1"/>
  <c r="F16" i="1" s="1"/>
  <c r="F341" i="1"/>
  <c r="F329" i="1" s="1"/>
  <c r="F317" i="1" s="1"/>
  <c r="F305" i="1" s="1"/>
  <c r="F293" i="1" s="1"/>
  <c r="F281" i="1" s="1"/>
  <c r="F269" i="1" s="1"/>
  <c r="F257" i="1" s="1"/>
  <c r="F245" i="1" s="1"/>
  <c r="F233" i="1" s="1"/>
  <c r="F221" i="1" s="1"/>
  <c r="F209" i="1" s="1"/>
  <c r="F197" i="1" s="1"/>
  <c r="F185" i="1" s="1"/>
  <c r="F173" i="1" s="1"/>
  <c r="F161" i="1" s="1"/>
  <c r="F149" i="1" s="1"/>
  <c r="F137" i="1" s="1"/>
  <c r="F125" i="1" s="1"/>
  <c r="F113" i="1" s="1"/>
  <c r="F101" i="1" s="1"/>
  <c r="F89" i="1" s="1"/>
  <c r="F77" i="1" s="1"/>
  <c r="F65" i="1" s="1"/>
  <c r="F53" i="1" s="1"/>
  <c r="F41" i="1" s="1"/>
  <c r="F29" i="1" s="1"/>
  <c r="F17" i="1" s="1"/>
  <c r="F342" i="1"/>
  <c r="F330" i="1" s="1"/>
  <c r="F318" i="1" s="1"/>
  <c r="F306" i="1" s="1"/>
  <c r="F294" i="1" s="1"/>
  <c r="F282" i="1" s="1"/>
  <c r="F270" i="1" s="1"/>
  <c r="F258" i="1" s="1"/>
  <c r="F246" i="1" s="1"/>
  <c r="F234" i="1" s="1"/>
  <c r="F222" i="1" s="1"/>
  <c r="F210" i="1" s="1"/>
  <c r="F198" i="1" s="1"/>
  <c r="F186" i="1" s="1"/>
  <c r="F174" i="1" s="1"/>
  <c r="F162" i="1" s="1"/>
  <c r="F150" i="1" s="1"/>
  <c r="F138" i="1" s="1"/>
  <c r="F126" i="1" s="1"/>
  <c r="F114" i="1" s="1"/>
  <c r="F102" i="1" s="1"/>
  <c r="F90" i="1" s="1"/>
  <c r="F78" i="1" s="1"/>
  <c r="F66" i="1" s="1"/>
  <c r="F54" i="1" s="1"/>
  <c r="F42" i="1" s="1"/>
  <c r="F30" i="1" s="1"/>
  <c r="F18" i="1" s="1"/>
  <c r="F331" i="1"/>
  <c r="F319" i="1" s="1"/>
  <c r="F307" i="1" s="1"/>
  <c r="F295" i="1" s="1"/>
  <c r="F283" i="1" s="1"/>
  <c r="F271" i="1" s="1"/>
  <c r="F259" i="1" s="1"/>
  <c r="F247" i="1" s="1"/>
  <c r="F235" i="1" s="1"/>
  <c r="F223" i="1" s="1"/>
  <c r="F211" i="1" s="1"/>
  <c r="F199" i="1" s="1"/>
  <c r="F187" i="1" s="1"/>
  <c r="F175" i="1" s="1"/>
  <c r="F163" i="1" s="1"/>
  <c r="F151" i="1" s="1"/>
  <c r="F139" i="1" s="1"/>
  <c r="F127" i="1" s="1"/>
  <c r="F115" i="1" s="1"/>
  <c r="F103" i="1" s="1"/>
  <c r="F91" i="1" s="1"/>
  <c r="F79" i="1" s="1"/>
  <c r="F67" i="1" s="1"/>
  <c r="F55" i="1" s="1"/>
  <c r="F43" i="1" s="1"/>
  <c r="F31" i="1" s="1"/>
  <c r="F19" i="1" s="1"/>
  <c r="F7" i="1" s="1"/>
  <c r="E355" i="1"/>
  <c r="E343" i="1" s="1"/>
  <c r="E331" i="1" s="1"/>
  <c r="E319" i="1" s="1"/>
  <c r="E307" i="1" s="1"/>
  <c r="E295" i="1" s="1"/>
  <c r="E283" i="1" s="1"/>
  <c r="E271" i="1" s="1"/>
  <c r="E259" i="1" s="1"/>
  <c r="E247" i="1" s="1"/>
  <c r="E235" i="1" s="1"/>
  <c r="E223" i="1" s="1"/>
  <c r="E211" i="1" s="1"/>
  <c r="E199" i="1" s="1"/>
  <c r="E187" i="1" s="1"/>
  <c r="E175" i="1" s="1"/>
  <c r="E163" i="1" s="1"/>
  <c r="E151" i="1" s="1"/>
  <c r="E139" i="1" s="1"/>
  <c r="E127" i="1" s="1"/>
  <c r="E115" i="1" s="1"/>
  <c r="E103" i="1" s="1"/>
  <c r="E91" i="1" s="1"/>
  <c r="E79" i="1" s="1"/>
  <c r="E67" i="1" s="1"/>
  <c r="E55" i="1" s="1"/>
  <c r="E43" i="1" s="1"/>
  <c r="E31" i="1" s="1"/>
  <c r="E19" i="1" s="1"/>
  <c r="E7" i="1" s="1"/>
  <c r="F7" i="3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 s="1"/>
  <c r="F267" i="3"/>
  <c r="G267" i="3" s="1"/>
  <c r="F268" i="3"/>
  <c r="G268" i="3" s="1"/>
  <c r="F269" i="3"/>
  <c r="G269" i="3" s="1"/>
  <c r="F270" i="3"/>
  <c r="G270" i="3" s="1"/>
  <c r="F271" i="3"/>
  <c r="G271" i="3" s="1"/>
  <c r="F272" i="3"/>
  <c r="G272" i="3" s="1"/>
  <c r="F273" i="3"/>
  <c r="G273" i="3" s="1"/>
  <c r="F274" i="3"/>
  <c r="G274" i="3" s="1"/>
  <c r="F275" i="3"/>
  <c r="G275" i="3" s="1"/>
  <c r="F276" i="3"/>
  <c r="G276" i="3" s="1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G295" i="3" s="1"/>
  <c r="F296" i="3"/>
  <c r="G296" i="3" s="1"/>
  <c r="F297" i="3"/>
  <c r="G297" i="3" s="1"/>
  <c r="F298" i="3"/>
  <c r="G298" i="3" s="1"/>
  <c r="F299" i="3"/>
  <c r="G299" i="3" s="1"/>
  <c r="F300" i="3"/>
  <c r="G300" i="3" s="1"/>
  <c r="F301" i="3"/>
  <c r="G301" i="3" s="1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G308" i="3" s="1"/>
  <c r="F309" i="3"/>
  <c r="G309" i="3" s="1"/>
  <c r="F310" i="3"/>
  <c r="G310" i="3" s="1"/>
  <c r="F311" i="3"/>
  <c r="G311" i="3" s="1"/>
  <c r="F312" i="3"/>
  <c r="G312" i="3" s="1"/>
  <c r="F313" i="3"/>
  <c r="G313" i="3" s="1"/>
  <c r="F314" i="3"/>
  <c r="G314" i="3" s="1"/>
  <c r="F315" i="3"/>
  <c r="G315" i="3" s="1"/>
  <c r="F316" i="3"/>
  <c r="G316" i="3" s="1"/>
  <c r="F317" i="3"/>
  <c r="G317" i="3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G324" i="3" s="1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F332" i="3"/>
  <c r="G332" i="3" s="1"/>
  <c r="F333" i="3"/>
  <c r="G333" i="3" s="1"/>
  <c r="F334" i="3"/>
  <c r="G334" i="3" s="1"/>
  <c r="F335" i="3"/>
  <c r="G335" i="3" s="1"/>
  <c r="F336" i="3"/>
  <c r="G336" i="3" s="1"/>
  <c r="F337" i="3"/>
  <c r="G337" i="3" s="1"/>
  <c r="F338" i="3"/>
  <c r="G338" i="3" s="1"/>
  <c r="F339" i="3"/>
  <c r="G339" i="3" s="1"/>
  <c r="F340" i="3"/>
  <c r="G340" i="3" s="1"/>
  <c r="F341" i="3"/>
  <c r="G341" i="3" s="1"/>
  <c r="F342" i="3"/>
  <c r="G342" i="3" s="1"/>
  <c r="F343" i="3"/>
  <c r="G343" i="3" s="1"/>
  <c r="F344" i="3"/>
  <c r="G344" i="3" s="1"/>
  <c r="F345" i="3"/>
  <c r="G345" i="3" s="1"/>
  <c r="F346" i="3"/>
  <c r="G346" i="3" s="1"/>
  <c r="F347" i="3"/>
  <c r="G347" i="3" s="1"/>
  <c r="F348" i="3"/>
  <c r="G348" i="3" s="1"/>
  <c r="F349" i="3"/>
  <c r="G349" i="3" s="1"/>
  <c r="F350" i="3"/>
  <c r="G350" i="3" s="1"/>
  <c r="F351" i="3"/>
  <c r="G351" i="3" s="1"/>
  <c r="F352" i="3"/>
  <c r="G352" i="3" s="1"/>
  <c r="F353" i="3"/>
  <c r="G353" i="3" s="1"/>
  <c r="F354" i="3"/>
  <c r="G354" i="3" s="1"/>
  <c r="E344" i="1"/>
  <c r="E332" i="1" s="1"/>
  <c r="E320" i="1" s="1"/>
  <c r="E308" i="1" s="1"/>
  <c r="E296" i="1" s="1"/>
  <c r="E284" i="1" s="1"/>
  <c r="E272" i="1" s="1"/>
  <c r="E260" i="1" s="1"/>
  <c r="E248" i="1" s="1"/>
  <c r="E236" i="1" s="1"/>
  <c r="E224" i="1" s="1"/>
  <c r="E212" i="1" s="1"/>
  <c r="E200" i="1" s="1"/>
  <c r="E188" i="1" s="1"/>
  <c r="E176" i="1" s="1"/>
  <c r="E164" i="1" s="1"/>
  <c r="E152" i="1" s="1"/>
  <c r="E140" i="1" s="1"/>
  <c r="E128" i="1" s="1"/>
  <c r="E116" i="1" s="1"/>
  <c r="E104" i="1" s="1"/>
  <c r="E92" i="1" s="1"/>
  <c r="E80" i="1" s="1"/>
  <c r="E68" i="1" s="1"/>
  <c r="E56" i="1" s="1"/>
  <c r="E44" i="1" s="1"/>
  <c r="E32" i="1" s="1"/>
  <c r="E20" i="1" s="1"/>
  <c r="E8" i="1" s="1"/>
  <c r="E345" i="1"/>
  <c r="E333" i="1" s="1"/>
  <c r="E321" i="1" s="1"/>
  <c r="E309" i="1" s="1"/>
  <c r="E297" i="1" s="1"/>
  <c r="E285" i="1" s="1"/>
  <c r="E273" i="1" s="1"/>
  <c r="E261" i="1" s="1"/>
  <c r="E249" i="1" s="1"/>
  <c r="E237" i="1" s="1"/>
  <c r="E225" i="1" s="1"/>
  <c r="E213" i="1" s="1"/>
  <c r="E201" i="1" s="1"/>
  <c r="E189" i="1" s="1"/>
  <c r="E177" i="1" s="1"/>
  <c r="E165" i="1" s="1"/>
  <c r="E153" i="1" s="1"/>
  <c r="E141" i="1" s="1"/>
  <c r="E129" i="1" s="1"/>
  <c r="E117" i="1" s="1"/>
  <c r="E105" i="1" s="1"/>
  <c r="E93" i="1" s="1"/>
  <c r="E81" i="1" s="1"/>
  <c r="E69" i="1" s="1"/>
  <c r="E57" i="1" s="1"/>
  <c r="E45" i="1" s="1"/>
  <c r="E33" i="1" s="1"/>
  <c r="E21" i="1" s="1"/>
  <c r="E9" i="1" s="1"/>
  <c r="E346" i="1"/>
  <c r="E334" i="1" s="1"/>
  <c r="E322" i="1" s="1"/>
  <c r="E310" i="1" s="1"/>
  <c r="E298" i="1" s="1"/>
  <c r="E286" i="1" s="1"/>
  <c r="E274" i="1" s="1"/>
  <c r="E262" i="1" s="1"/>
  <c r="E250" i="1" s="1"/>
  <c r="E238" i="1" s="1"/>
  <c r="E226" i="1" s="1"/>
  <c r="E214" i="1" s="1"/>
  <c r="E202" i="1" s="1"/>
  <c r="E190" i="1" s="1"/>
  <c r="E178" i="1" s="1"/>
  <c r="E166" i="1" s="1"/>
  <c r="E154" i="1" s="1"/>
  <c r="E142" i="1" s="1"/>
  <c r="E130" i="1" s="1"/>
  <c r="E118" i="1" s="1"/>
  <c r="E106" i="1" s="1"/>
  <c r="E94" i="1" s="1"/>
  <c r="E82" i="1" s="1"/>
  <c r="E70" i="1" s="1"/>
  <c r="E58" i="1" s="1"/>
  <c r="E46" i="1" s="1"/>
  <c r="E34" i="1" s="1"/>
  <c r="E22" i="1" s="1"/>
  <c r="E10" i="1" s="1"/>
  <c r="E347" i="1"/>
  <c r="E335" i="1" s="1"/>
  <c r="E323" i="1" s="1"/>
  <c r="E311" i="1" s="1"/>
  <c r="E299" i="1" s="1"/>
  <c r="E287" i="1" s="1"/>
  <c r="E275" i="1" s="1"/>
  <c r="E263" i="1" s="1"/>
  <c r="E251" i="1" s="1"/>
  <c r="E239" i="1" s="1"/>
  <c r="E227" i="1" s="1"/>
  <c r="E215" i="1" s="1"/>
  <c r="E203" i="1" s="1"/>
  <c r="E191" i="1" s="1"/>
  <c r="E179" i="1" s="1"/>
  <c r="E167" i="1" s="1"/>
  <c r="E155" i="1" s="1"/>
  <c r="E143" i="1" s="1"/>
  <c r="E131" i="1" s="1"/>
  <c r="E119" i="1" s="1"/>
  <c r="E107" i="1" s="1"/>
  <c r="E95" i="1" s="1"/>
  <c r="E83" i="1" s="1"/>
  <c r="E71" i="1" s="1"/>
  <c r="E59" i="1" s="1"/>
  <c r="E47" i="1" s="1"/>
  <c r="E35" i="1" s="1"/>
  <c r="E23" i="1" s="1"/>
  <c r="E11" i="1" s="1"/>
  <c r="E348" i="1"/>
  <c r="E336" i="1" s="1"/>
  <c r="E324" i="1" s="1"/>
  <c r="E312" i="1" s="1"/>
  <c r="E300" i="1" s="1"/>
  <c r="E288" i="1" s="1"/>
  <c r="E276" i="1" s="1"/>
  <c r="E264" i="1" s="1"/>
  <c r="E252" i="1" s="1"/>
  <c r="E240" i="1" s="1"/>
  <c r="E228" i="1" s="1"/>
  <c r="E216" i="1" s="1"/>
  <c r="E204" i="1" s="1"/>
  <c r="E192" i="1" s="1"/>
  <c r="E180" i="1" s="1"/>
  <c r="E168" i="1" s="1"/>
  <c r="E156" i="1" s="1"/>
  <c r="E144" i="1" s="1"/>
  <c r="E132" i="1" s="1"/>
  <c r="E120" i="1" s="1"/>
  <c r="E108" i="1" s="1"/>
  <c r="E96" i="1" s="1"/>
  <c r="E84" i="1" s="1"/>
  <c r="E72" i="1" s="1"/>
  <c r="E60" i="1" s="1"/>
  <c r="E48" i="1" s="1"/>
  <c r="E36" i="1" s="1"/>
  <c r="E24" i="1" s="1"/>
  <c r="E12" i="1" s="1"/>
  <c r="E349" i="1"/>
  <c r="E337" i="1" s="1"/>
  <c r="E325" i="1" s="1"/>
  <c r="E313" i="1" s="1"/>
  <c r="E301" i="1" s="1"/>
  <c r="E289" i="1" s="1"/>
  <c r="E277" i="1" s="1"/>
  <c r="E265" i="1" s="1"/>
  <c r="E253" i="1" s="1"/>
  <c r="E241" i="1" s="1"/>
  <c r="E229" i="1" s="1"/>
  <c r="E217" i="1" s="1"/>
  <c r="E205" i="1" s="1"/>
  <c r="E193" i="1" s="1"/>
  <c r="E181" i="1" s="1"/>
  <c r="E169" i="1" s="1"/>
  <c r="E157" i="1" s="1"/>
  <c r="E145" i="1" s="1"/>
  <c r="E133" i="1" s="1"/>
  <c r="E121" i="1" s="1"/>
  <c r="E109" i="1" s="1"/>
  <c r="E97" i="1" s="1"/>
  <c r="E85" i="1" s="1"/>
  <c r="E73" i="1" s="1"/>
  <c r="E61" i="1" s="1"/>
  <c r="E49" i="1" s="1"/>
  <c r="E37" i="1" s="1"/>
  <c r="E25" i="1" s="1"/>
  <c r="E13" i="1" s="1"/>
  <c r="E350" i="1"/>
  <c r="E338" i="1" s="1"/>
  <c r="E326" i="1" s="1"/>
  <c r="E314" i="1" s="1"/>
  <c r="E302" i="1" s="1"/>
  <c r="E290" i="1" s="1"/>
  <c r="E278" i="1" s="1"/>
  <c r="E266" i="1" s="1"/>
  <c r="E254" i="1" s="1"/>
  <c r="E242" i="1" s="1"/>
  <c r="E230" i="1" s="1"/>
  <c r="E218" i="1" s="1"/>
  <c r="E206" i="1" s="1"/>
  <c r="E194" i="1" s="1"/>
  <c r="E182" i="1" s="1"/>
  <c r="E170" i="1" s="1"/>
  <c r="E158" i="1" s="1"/>
  <c r="E146" i="1" s="1"/>
  <c r="E134" i="1" s="1"/>
  <c r="E122" i="1" s="1"/>
  <c r="E110" i="1" s="1"/>
  <c r="E98" i="1" s="1"/>
  <c r="E86" i="1" s="1"/>
  <c r="E74" i="1" s="1"/>
  <c r="E62" i="1" s="1"/>
  <c r="E50" i="1" s="1"/>
  <c r="E38" i="1" s="1"/>
  <c r="E26" i="1" s="1"/>
  <c r="E14" i="1" s="1"/>
  <c r="E351" i="1"/>
  <c r="E339" i="1" s="1"/>
  <c r="E327" i="1" s="1"/>
  <c r="E315" i="1" s="1"/>
  <c r="E303" i="1" s="1"/>
  <c r="E291" i="1" s="1"/>
  <c r="E279" i="1" s="1"/>
  <c r="E267" i="1" s="1"/>
  <c r="E255" i="1" s="1"/>
  <c r="E243" i="1" s="1"/>
  <c r="E231" i="1" s="1"/>
  <c r="E219" i="1" s="1"/>
  <c r="E207" i="1" s="1"/>
  <c r="E195" i="1" s="1"/>
  <c r="E183" i="1" s="1"/>
  <c r="E171" i="1" s="1"/>
  <c r="E159" i="1" s="1"/>
  <c r="E147" i="1" s="1"/>
  <c r="E135" i="1" s="1"/>
  <c r="E123" i="1" s="1"/>
  <c r="E111" i="1" s="1"/>
  <c r="E99" i="1" s="1"/>
  <c r="E87" i="1" s="1"/>
  <c r="E75" i="1" s="1"/>
  <c r="E63" i="1" s="1"/>
  <c r="E51" i="1" s="1"/>
  <c r="E39" i="1" s="1"/>
  <c r="E27" i="1" s="1"/>
  <c r="E15" i="1" s="1"/>
  <c r="E352" i="1"/>
  <c r="E340" i="1" s="1"/>
  <c r="E328" i="1" s="1"/>
  <c r="E316" i="1" s="1"/>
  <c r="E304" i="1" s="1"/>
  <c r="E292" i="1" s="1"/>
  <c r="E280" i="1" s="1"/>
  <c r="E268" i="1" s="1"/>
  <c r="E256" i="1" s="1"/>
  <c r="E244" i="1" s="1"/>
  <c r="E232" i="1" s="1"/>
  <c r="E220" i="1" s="1"/>
  <c r="E208" i="1" s="1"/>
  <c r="E196" i="1" s="1"/>
  <c r="E184" i="1" s="1"/>
  <c r="E172" i="1" s="1"/>
  <c r="E160" i="1" s="1"/>
  <c r="E148" i="1" s="1"/>
  <c r="E136" i="1" s="1"/>
  <c r="E124" i="1" s="1"/>
  <c r="E112" i="1" s="1"/>
  <c r="E100" i="1" s="1"/>
  <c r="E88" i="1" s="1"/>
  <c r="E76" i="1" s="1"/>
  <c r="E64" i="1" s="1"/>
  <c r="E52" i="1" s="1"/>
  <c r="E40" i="1" s="1"/>
  <c r="E28" i="1" s="1"/>
  <c r="E16" i="1" s="1"/>
  <c r="E353" i="1"/>
  <c r="E341" i="1" s="1"/>
  <c r="E329" i="1" s="1"/>
  <c r="E317" i="1" s="1"/>
  <c r="E305" i="1" s="1"/>
  <c r="E293" i="1" s="1"/>
  <c r="E281" i="1" s="1"/>
  <c r="E269" i="1" s="1"/>
  <c r="E257" i="1" s="1"/>
  <c r="E245" i="1" s="1"/>
  <c r="E233" i="1" s="1"/>
  <c r="E221" i="1" s="1"/>
  <c r="E209" i="1" s="1"/>
  <c r="E197" i="1" s="1"/>
  <c r="E185" i="1" s="1"/>
  <c r="E173" i="1" s="1"/>
  <c r="E161" i="1" s="1"/>
  <c r="E149" i="1" s="1"/>
  <c r="E137" i="1" s="1"/>
  <c r="E125" i="1" s="1"/>
  <c r="E113" i="1" s="1"/>
  <c r="E101" i="1" s="1"/>
  <c r="E89" i="1" s="1"/>
  <c r="E77" i="1" s="1"/>
  <c r="E65" i="1" s="1"/>
  <c r="E53" i="1" s="1"/>
  <c r="E41" i="1" s="1"/>
  <c r="E29" i="1" s="1"/>
  <c r="E17" i="1" s="1"/>
  <c r="E354" i="1"/>
  <c r="E342" i="1" s="1"/>
  <c r="E330" i="1" s="1"/>
  <c r="E318" i="1" s="1"/>
  <c r="E306" i="1" s="1"/>
  <c r="E294" i="1" s="1"/>
  <c r="E282" i="1" s="1"/>
  <c r="E270" i="1" s="1"/>
  <c r="E258" i="1" s="1"/>
  <c r="E246" i="1" s="1"/>
  <c r="E234" i="1" s="1"/>
  <c r="E222" i="1" s="1"/>
  <c r="E210" i="1" s="1"/>
  <c r="E198" i="1" s="1"/>
  <c r="E186" i="1" s="1"/>
  <c r="E174" i="1" s="1"/>
  <c r="E162" i="1" s="1"/>
  <c r="E150" i="1" s="1"/>
  <c r="E138" i="1" s="1"/>
  <c r="E126" i="1" s="1"/>
  <c r="E114" i="1" s="1"/>
  <c r="E102" i="1" s="1"/>
  <c r="E90" i="1" s="1"/>
  <c r="E78" i="1" s="1"/>
  <c r="E66" i="1" s="1"/>
  <c r="E54" i="1" s="1"/>
  <c r="E42" i="1" s="1"/>
  <c r="E30" i="1" s="1"/>
  <c r="E18" i="1" s="1"/>
  <c r="D355" i="1"/>
  <c r="D343" i="1" s="1"/>
  <c r="D331" i="1" s="1"/>
  <c r="D319" i="1" s="1"/>
  <c r="D307" i="1" s="1"/>
  <c r="D295" i="1" s="1"/>
  <c r="D283" i="1" s="1"/>
  <c r="D271" i="1" s="1"/>
  <c r="D259" i="1" s="1"/>
  <c r="D247" i="1" s="1"/>
  <c r="D235" i="1" s="1"/>
  <c r="D223" i="1" s="1"/>
  <c r="D211" i="1" s="1"/>
  <c r="D199" i="1" s="1"/>
  <c r="D187" i="1" s="1"/>
  <c r="D175" i="1" s="1"/>
  <c r="D163" i="1" s="1"/>
  <c r="D151" i="1" s="1"/>
  <c r="D139" i="1" s="1"/>
  <c r="D127" i="1" s="1"/>
  <c r="D115" i="1" s="1"/>
  <c r="D103" i="1" s="1"/>
  <c r="D91" i="1" s="1"/>
  <c r="D79" i="1" s="1"/>
  <c r="D67" i="1" s="1"/>
  <c r="D55" i="1" s="1"/>
  <c r="D43" i="1" s="1"/>
  <c r="D31" i="1" s="1"/>
  <c r="D19" i="1" s="1"/>
  <c r="D7" i="1" s="1"/>
  <c r="D321" i="1"/>
  <c r="D309" i="1" s="1"/>
  <c r="D297" i="1" s="1"/>
  <c r="D285" i="1" s="1"/>
  <c r="D273" i="1" s="1"/>
  <c r="D261" i="1" s="1"/>
  <c r="D249" i="1" s="1"/>
  <c r="D237" i="1" s="1"/>
  <c r="D225" i="1" s="1"/>
  <c r="D213" i="1" s="1"/>
  <c r="D201" i="1" s="1"/>
  <c r="D189" i="1" s="1"/>
  <c r="D177" i="1" s="1"/>
  <c r="D165" i="1" s="1"/>
  <c r="D153" i="1" s="1"/>
  <c r="D141" i="1" s="1"/>
  <c r="D129" i="1" s="1"/>
  <c r="D117" i="1" s="1"/>
  <c r="D105" i="1" s="1"/>
  <c r="D93" i="1" s="1"/>
  <c r="D81" i="1" s="1"/>
  <c r="D69" i="1" s="1"/>
  <c r="D57" i="1" s="1"/>
  <c r="D45" i="1" s="1"/>
  <c r="D33" i="1" s="1"/>
  <c r="D21" i="1" s="1"/>
  <c r="D9" i="1" s="1"/>
  <c r="D332" i="1"/>
  <c r="D320" i="1" s="1"/>
  <c r="D308" i="1" s="1"/>
  <c r="D296" i="1" s="1"/>
  <c r="D284" i="1" s="1"/>
  <c r="D272" i="1" s="1"/>
  <c r="D260" i="1" s="1"/>
  <c r="D248" i="1" s="1"/>
  <c r="D236" i="1" s="1"/>
  <c r="D224" i="1" s="1"/>
  <c r="D212" i="1" s="1"/>
  <c r="D200" i="1" s="1"/>
  <c r="D188" i="1" s="1"/>
  <c r="D176" i="1" s="1"/>
  <c r="D164" i="1" s="1"/>
  <c r="D152" i="1" s="1"/>
  <c r="D140" i="1" s="1"/>
  <c r="D128" i="1" s="1"/>
  <c r="D116" i="1" s="1"/>
  <c r="D104" i="1" s="1"/>
  <c r="D92" i="1" s="1"/>
  <c r="D80" i="1" s="1"/>
  <c r="D68" i="1" s="1"/>
  <c r="D56" i="1" s="1"/>
  <c r="D44" i="1" s="1"/>
  <c r="D32" i="1" s="1"/>
  <c r="D20" i="1" s="1"/>
  <c r="D8" i="1" s="1"/>
  <c r="D333" i="1"/>
  <c r="D334" i="1"/>
  <c r="D322" i="1" s="1"/>
  <c r="D310" i="1" s="1"/>
  <c r="D298" i="1" s="1"/>
  <c r="D286" i="1" s="1"/>
  <c r="D274" i="1" s="1"/>
  <c r="D262" i="1" s="1"/>
  <c r="D250" i="1" s="1"/>
  <c r="D238" i="1" s="1"/>
  <c r="D226" i="1" s="1"/>
  <c r="D214" i="1" s="1"/>
  <c r="D202" i="1" s="1"/>
  <c r="D190" i="1" s="1"/>
  <c r="D178" i="1" s="1"/>
  <c r="D166" i="1" s="1"/>
  <c r="D154" i="1" s="1"/>
  <c r="D142" i="1" s="1"/>
  <c r="D130" i="1" s="1"/>
  <c r="D118" i="1" s="1"/>
  <c r="D106" i="1" s="1"/>
  <c r="D94" i="1" s="1"/>
  <c r="D82" i="1" s="1"/>
  <c r="D70" i="1" s="1"/>
  <c r="D58" i="1" s="1"/>
  <c r="D46" i="1" s="1"/>
  <c r="D34" i="1" s="1"/>
  <c r="D22" i="1" s="1"/>
  <c r="D10" i="1" s="1"/>
  <c r="D335" i="1"/>
  <c r="D323" i="1" s="1"/>
  <c r="D311" i="1" s="1"/>
  <c r="D299" i="1" s="1"/>
  <c r="D287" i="1" s="1"/>
  <c r="D275" i="1" s="1"/>
  <c r="D263" i="1" s="1"/>
  <c r="D251" i="1" s="1"/>
  <c r="D239" i="1" s="1"/>
  <c r="D227" i="1" s="1"/>
  <c r="D215" i="1" s="1"/>
  <c r="D203" i="1" s="1"/>
  <c r="D191" i="1" s="1"/>
  <c r="D179" i="1" s="1"/>
  <c r="D167" i="1" s="1"/>
  <c r="D155" i="1" s="1"/>
  <c r="D143" i="1" s="1"/>
  <c r="D131" i="1" s="1"/>
  <c r="D119" i="1" s="1"/>
  <c r="D107" i="1" s="1"/>
  <c r="D95" i="1" s="1"/>
  <c r="D83" i="1" s="1"/>
  <c r="D71" i="1" s="1"/>
  <c r="D59" i="1" s="1"/>
  <c r="D47" i="1" s="1"/>
  <c r="D35" i="1" s="1"/>
  <c r="D23" i="1" s="1"/>
  <c r="D11" i="1" s="1"/>
  <c r="D336" i="1"/>
  <c r="D324" i="1" s="1"/>
  <c r="D312" i="1" s="1"/>
  <c r="D300" i="1" s="1"/>
  <c r="D288" i="1" s="1"/>
  <c r="D276" i="1" s="1"/>
  <c r="D264" i="1" s="1"/>
  <c r="D252" i="1" s="1"/>
  <c r="D240" i="1" s="1"/>
  <c r="D228" i="1" s="1"/>
  <c r="D216" i="1" s="1"/>
  <c r="D204" i="1" s="1"/>
  <c r="D192" i="1" s="1"/>
  <c r="D180" i="1" s="1"/>
  <c r="D168" i="1" s="1"/>
  <c r="D156" i="1" s="1"/>
  <c r="D144" i="1" s="1"/>
  <c r="D132" i="1" s="1"/>
  <c r="D120" i="1" s="1"/>
  <c r="D108" i="1" s="1"/>
  <c r="D96" i="1" s="1"/>
  <c r="D84" i="1" s="1"/>
  <c r="D72" i="1" s="1"/>
  <c r="D60" i="1" s="1"/>
  <c r="D48" i="1" s="1"/>
  <c r="D36" i="1" s="1"/>
  <c r="D24" i="1" s="1"/>
  <c r="D12" i="1" s="1"/>
  <c r="D337" i="1"/>
  <c r="D325" i="1" s="1"/>
  <c r="D313" i="1" s="1"/>
  <c r="D301" i="1" s="1"/>
  <c r="D289" i="1" s="1"/>
  <c r="D277" i="1" s="1"/>
  <c r="D265" i="1" s="1"/>
  <c r="D253" i="1" s="1"/>
  <c r="D241" i="1" s="1"/>
  <c r="D229" i="1" s="1"/>
  <c r="D217" i="1" s="1"/>
  <c r="D205" i="1" s="1"/>
  <c r="D193" i="1" s="1"/>
  <c r="D181" i="1" s="1"/>
  <c r="D169" i="1" s="1"/>
  <c r="D157" i="1" s="1"/>
  <c r="D145" i="1" s="1"/>
  <c r="D133" i="1" s="1"/>
  <c r="D121" i="1" s="1"/>
  <c r="D109" i="1" s="1"/>
  <c r="D97" i="1" s="1"/>
  <c r="D85" i="1" s="1"/>
  <c r="D73" i="1" s="1"/>
  <c r="D61" i="1" s="1"/>
  <c r="D49" i="1" s="1"/>
  <c r="D37" i="1" s="1"/>
  <c r="D25" i="1" s="1"/>
  <c r="D13" i="1" s="1"/>
  <c r="D338" i="1"/>
  <c r="D326" i="1" s="1"/>
  <c r="D314" i="1" s="1"/>
  <c r="D302" i="1" s="1"/>
  <c r="D290" i="1" s="1"/>
  <c r="D278" i="1" s="1"/>
  <c r="D266" i="1" s="1"/>
  <c r="D254" i="1" s="1"/>
  <c r="D242" i="1" s="1"/>
  <c r="D230" i="1" s="1"/>
  <c r="D218" i="1" s="1"/>
  <c r="D206" i="1" s="1"/>
  <c r="D194" i="1" s="1"/>
  <c r="D182" i="1" s="1"/>
  <c r="D170" i="1" s="1"/>
  <c r="D158" i="1" s="1"/>
  <c r="D146" i="1" s="1"/>
  <c r="D134" i="1" s="1"/>
  <c r="D122" i="1" s="1"/>
  <c r="D110" i="1" s="1"/>
  <c r="D98" i="1" s="1"/>
  <c r="D86" i="1" s="1"/>
  <c r="D74" i="1" s="1"/>
  <c r="D62" i="1" s="1"/>
  <c r="D50" i="1" s="1"/>
  <c r="D38" i="1" s="1"/>
  <c r="D26" i="1" s="1"/>
  <c r="D14" i="1" s="1"/>
  <c r="D339" i="1"/>
  <c r="D327" i="1" s="1"/>
  <c r="D315" i="1" s="1"/>
  <c r="D303" i="1" s="1"/>
  <c r="D291" i="1" s="1"/>
  <c r="D279" i="1" s="1"/>
  <c r="D267" i="1" s="1"/>
  <c r="D255" i="1" s="1"/>
  <c r="D243" i="1" s="1"/>
  <c r="D231" i="1" s="1"/>
  <c r="D219" i="1" s="1"/>
  <c r="D207" i="1" s="1"/>
  <c r="D195" i="1" s="1"/>
  <c r="D183" i="1" s="1"/>
  <c r="D171" i="1" s="1"/>
  <c r="D159" i="1" s="1"/>
  <c r="D147" i="1" s="1"/>
  <c r="D135" i="1" s="1"/>
  <c r="D123" i="1" s="1"/>
  <c r="D111" i="1" s="1"/>
  <c r="D99" i="1" s="1"/>
  <c r="D87" i="1" s="1"/>
  <c r="D75" i="1" s="1"/>
  <c r="D63" i="1" s="1"/>
  <c r="D51" i="1" s="1"/>
  <c r="D39" i="1" s="1"/>
  <c r="D27" i="1" s="1"/>
  <c r="D15" i="1" s="1"/>
  <c r="D340" i="1"/>
  <c r="D328" i="1" s="1"/>
  <c r="D316" i="1" s="1"/>
  <c r="D304" i="1" s="1"/>
  <c r="D292" i="1" s="1"/>
  <c r="D280" i="1" s="1"/>
  <c r="D268" i="1" s="1"/>
  <c r="D256" i="1" s="1"/>
  <c r="D244" i="1" s="1"/>
  <c r="D232" i="1" s="1"/>
  <c r="D220" i="1" s="1"/>
  <c r="D208" i="1" s="1"/>
  <c r="D196" i="1" s="1"/>
  <c r="D184" i="1" s="1"/>
  <c r="D172" i="1" s="1"/>
  <c r="D160" i="1" s="1"/>
  <c r="D148" i="1" s="1"/>
  <c r="D136" i="1" s="1"/>
  <c r="D124" i="1" s="1"/>
  <c r="D112" i="1" s="1"/>
  <c r="D100" i="1" s="1"/>
  <c r="D88" i="1" s="1"/>
  <c r="D76" i="1" s="1"/>
  <c r="D64" i="1" s="1"/>
  <c r="D52" i="1" s="1"/>
  <c r="D40" i="1" s="1"/>
  <c r="D28" i="1" s="1"/>
  <c r="D16" i="1" s="1"/>
  <c r="D341" i="1"/>
  <c r="D329" i="1" s="1"/>
  <c r="D317" i="1" s="1"/>
  <c r="D305" i="1" s="1"/>
  <c r="D293" i="1" s="1"/>
  <c r="D281" i="1" s="1"/>
  <c r="D269" i="1" s="1"/>
  <c r="D257" i="1" s="1"/>
  <c r="D245" i="1" s="1"/>
  <c r="D233" i="1" s="1"/>
  <c r="D221" i="1" s="1"/>
  <c r="D209" i="1" s="1"/>
  <c r="D197" i="1" s="1"/>
  <c r="D185" i="1" s="1"/>
  <c r="D173" i="1" s="1"/>
  <c r="D161" i="1" s="1"/>
  <c r="D149" i="1" s="1"/>
  <c r="D137" i="1" s="1"/>
  <c r="D125" i="1" s="1"/>
  <c r="D113" i="1" s="1"/>
  <c r="D101" i="1" s="1"/>
  <c r="D89" i="1" s="1"/>
  <c r="D77" i="1" s="1"/>
  <c r="D65" i="1" s="1"/>
  <c r="D53" i="1" s="1"/>
  <c r="D41" i="1" s="1"/>
  <c r="D29" i="1" s="1"/>
  <c r="D17" i="1" s="1"/>
  <c r="D342" i="1"/>
  <c r="D330" i="1" s="1"/>
  <c r="D318" i="1" s="1"/>
  <c r="D306" i="1" s="1"/>
  <c r="D294" i="1" s="1"/>
  <c r="D282" i="1" s="1"/>
  <c r="D270" i="1" s="1"/>
  <c r="D258" i="1" s="1"/>
  <c r="D246" i="1" s="1"/>
  <c r="D234" i="1" s="1"/>
  <c r="D222" i="1" s="1"/>
  <c r="D210" i="1" s="1"/>
  <c r="D198" i="1" s="1"/>
  <c r="D186" i="1" s="1"/>
  <c r="D174" i="1" s="1"/>
  <c r="D162" i="1" s="1"/>
  <c r="D150" i="1" s="1"/>
  <c r="D138" i="1" s="1"/>
  <c r="D126" i="1" s="1"/>
  <c r="D114" i="1" s="1"/>
  <c r="D102" i="1" s="1"/>
  <c r="D90" i="1" s="1"/>
  <c r="D78" i="1" s="1"/>
  <c r="D66" i="1" s="1"/>
  <c r="D54" i="1" s="1"/>
  <c r="D42" i="1" s="1"/>
  <c r="D30" i="1" s="1"/>
  <c r="D18" i="1" s="1"/>
</calcChain>
</file>

<file path=xl/sharedStrings.xml><?xml version="1.0" encoding="utf-8"?>
<sst xmlns="http://schemas.openxmlformats.org/spreadsheetml/2006/main" count="1894" uniqueCount="377">
  <si>
    <t>Data</t>
  </si>
  <si>
    <t>PU
ajust p/ prov
Em moeda orig</t>
  </si>
  <si>
    <t>Jan-1995</t>
  </si>
  <si>
    <t>Fev-1995</t>
  </si>
  <si>
    <t>Mar-1995</t>
  </si>
  <si>
    <t>Abr-1995</t>
  </si>
  <si>
    <t>Mai-1995</t>
  </si>
  <si>
    <t>Jun-1995</t>
  </si>
  <si>
    <t>Jul-1995</t>
  </si>
  <si>
    <t>Ago-1995</t>
  </si>
  <si>
    <t>Set-1995</t>
  </si>
  <si>
    <t>Out-1995</t>
  </si>
  <si>
    <t>Nov-1995</t>
  </si>
  <si>
    <t>Dez-1995</t>
  </si>
  <si>
    <t>Jan-1996</t>
  </si>
  <si>
    <t>Fev-1996</t>
  </si>
  <si>
    <t>Mar-1996</t>
  </si>
  <si>
    <t>Abr-1996</t>
  </si>
  <si>
    <t>Mai-1996</t>
  </si>
  <si>
    <t>Jun-1996</t>
  </si>
  <si>
    <t>Jul-1996</t>
  </si>
  <si>
    <t>Ago-1996</t>
  </si>
  <si>
    <t>Set-1996</t>
  </si>
  <si>
    <t>Out-1996</t>
  </si>
  <si>
    <t>Nov-1996</t>
  </si>
  <si>
    <t>Dez-1996</t>
  </si>
  <si>
    <t>Jan-1997</t>
  </si>
  <si>
    <t>Fev-1997</t>
  </si>
  <si>
    <t>Mar-1997</t>
  </si>
  <si>
    <t>Abr-1997</t>
  </si>
  <si>
    <t>Mai-1997</t>
  </si>
  <si>
    <t>Jun-1997</t>
  </si>
  <si>
    <t>Jul-1997</t>
  </si>
  <si>
    <t>Ago-1997</t>
  </si>
  <si>
    <t>Set-1997</t>
  </si>
  <si>
    <t>Out-1997</t>
  </si>
  <si>
    <t>Nov-1997</t>
  </si>
  <si>
    <t>Dez-1997</t>
  </si>
  <si>
    <t>Jan-1998</t>
  </si>
  <si>
    <t>Fev-1998</t>
  </si>
  <si>
    <t>Mar-1998</t>
  </si>
  <si>
    <t>Abr-1998</t>
  </si>
  <si>
    <t>Mai-1998</t>
  </si>
  <si>
    <t>Jun-1998</t>
  </si>
  <si>
    <t>Jul-1998</t>
  </si>
  <si>
    <t>Ago-1998</t>
  </si>
  <si>
    <t>Set-1998</t>
  </si>
  <si>
    <t>Out-1998</t>
  </si>
  <si>
    <t>Nov-1998</t>
  </si>
  <si>
    <t>Dez-1998</t>
  </si>
  <si>
    <t>Jan-1999</t>
  </si>
  <si>
    <t>Fev-1999</t>
  </si>
  <si>
    <t>Mar-1999</t>
  </si>
  <si>
    <t>Abr-1999</t>
  </si>
  <si>
    <t>Mai-1999</t>
  </si>
  <si>
    <t>Jun-1999</t>
  </si>
  <si>
    <t>Jul-1999</t>
  </si>
  <si>
    <t>Ago-1999</t>
  </si>
  <si>
    <t>Set-1999</t>
  </si>
  <si>
    <t>Out-1999</t>
  </si>
  <si>
    <t>Nov-1999</t>
  </si>
  <si>
    <t>Dez-1999</t>
  </si>
  <si>
    <t>Jan-2000</t>
  </si>
  <si>
    <t>Fev-2000</t>
  </si>
  <si>
    <t>Mar-2000</t>
  </si>
  <si>
    <t>Abr-2000</t>
  </si>
  <si>
    <t>Mai-2000</t>
  </si>
  <si>
    <t>Jun-2000</t>
  </si>
  <si>
    <t>Jul-2000</t>
  </si>
  <si>
    <t>Ago-2000</t>
  </si>
  <si>
    <t>Set-2000</t>
  </si>
  <si>
    <t>Out-2000</t>
  </si>
  <si>
    <t>Nov-2000</t>
  </si>
  <si>
    <t>Dez-2000</t>
  </si>
  <si>
    <t>Jan-2001</t>
  </si>
  <si>
    <t>Fev-2001</t>
  </si>
  <si>
    <t>Mar-2001</t>
  </si>
  <si>
    <t>Abr-2001</t>
  </si>
  <si>
    <t>Mai-2001</t>
  </si>
  <si>
    <t>Jun-2001</t>
  </si>
  <si>
    <t>Jul-2001</t>
  </si>
  <si>
    <t>Ago-2001</t>
  </si>
  <si>
    <t>Set-2001</t>
  </si>
  <si>
    <t>Out-2001</t>
  </si>
  <si>
    <t>Nov-2001</t>
  </si>
  <si>
    <t>Dez-2001</t>
  </si>
  <si>
    <t>Jan-2002</t>
  </si>
  <si>
    <t>Fev-2002</t>
  </si>
  <si>
    <t>Mar-2002</t>
  </si>
  <si>
    <t>Abr-2002</t>
  </si>
  <si>
    <t>Mai-2002</t>
  </si>
  <si>
    <t>Jun-2002</t>
  </si>
  <si>
    <t>Jul-2002</t>
  </si>
  <si>
    <t>Ago-2002</t>
  </si>
  <si>
    <t>Set-2002</t>
  </si>
  <si>
    <t>Out-2002</t>
  </si>
  <si>
    <t>Nov-2002</t>
  </si>
  <si>
    <t>Dez-2002</t>
  </si>
  <si>
    <t>Jan-2003</t>
  </si>
  <si>
    <t>Fev-2003</t>
  </si>
  <si>
    <t>Mar-2003</t>
  </si>
  <si>
    <t>Abr-2003</t>
  </si>
  <si>
    <t>Mai-2003</t>
  </si>
  <si>
    <t>Jun-2003</t>
  </si>
  <si>
    <t>Jul-2003</t>
  </si>
  <si>
    <t>Ago-2003</t>
  </si>
  <si>
    <t>Set-2003</t>
  </si>
  <si>
    <t>Out-2003</t>
  </si>
  <si>
    <t>Nov-2003</t>
  </si>
  <si>
    <t>Dez-2003</t>
  </si>
  <si>
    <t>Jan-2004</t>
  </si>
  <si>
    <t>Fev-2004</t>
  </si>
  <si>
    <t>Mar-2004</t>
  </si>
  <si>
    <t>Abr-2004</t>
  </si>
  <si>
    <t>Mai-2004</t>
  </si>
  <si>
    <t>Jun-2004</t>
  </si>
  <si>
    <t>Jul-2004</t>
  </si>
  <si>
    <t>Ago-2004</t>
  </si>
  <si>
    <t>Set-2004</t>
  </si>
  <si>
    <t>Out-2004</t>
  </si>
  <si>
    <t>Nov-2004</t>
  </si>
  <si>
    <t>Dez-2004</t>
  </si>
  <si>
    <t>Jan-2005</t>
  </si>
  <si>
    <t>Fev-2005</t>
  </si>
  <si>
    <t>Mar-2005</t>
  </si>
  <si>
    <t>Abr-2005</t>
  </si>
  <si>
    <t>Mai-2005</t>
  </si>
  <si>
    <t>Jun-2005</t>
  </si>
  <si>
    <t>Jul-2005</t>
  </si>
  <si>
    <t>Ago-2005</t>
  </si>
  <si>
    <t>Set-2005</t>
  </si>
  <si>
    <t>Out-2005</t>
  </si>
  <si>
    <t>Nov-2005</t>
  </si>
  <si>
    <t>Dez-2005</t>
  </si>
  <si>
    <t>Jan-2006</t>
  </si>
  <si>
    <t>Fev-2006</t>
  </si>
  <si>
    <t>Mar-2006</t>
  </si>
  <si>
    <t>Abr-2006</t>
  </si>
  <si>
    <t>Mai-2006</t>
  </si>
  <si>
    <t>Jun-2006</t>
  </si>
  <si>
    <t>Jul-2006</t>
  </si>
  <si>
    <t>Ago-2006</t>
  </si>
  <si>
    <t>Set-2006</t>
  </si>
  <si>
    <t>Out-2006</t>
  </si>
  <si>
    <t>Nov-2006</t>
  </si>
  <si>
    <t>Dez-2006</t>
  </si>
  <si>
    <t>Jan-2007</t>
  </si>
  <si>
    <t>Fev-2007</t>
  </si>
  <si>
    <t>Mar-2007</t>
  </si>
  <si>
    <t>Abr-2007</t>
  </si>
  <si>
    <t>Mai-2007</t>
  </si>
  <si>
    <t>Jun-2007</t>
  </si>
  <si>
    <t>Jul-2007</t>
  </si>
  <si>
    <t>Ago-2007</t>
  </si>
  <si>
    <t>Set-2007</t>
  </si>
  <si>
    <t>Out-2007</t>
  </si>
  <si>
    <t>Nov-2007</t>
  </si>
  <si>
    <t>Dez-2007</t>
  </si>
  <si>
    <t>Jan-2008</t>
  </si>
  <si>
    <t>Fev-2008</t>
  </si>
  <si>
    <t>Mar-2008</t>
  </si>
  <si>
    <t>Abr-2008</t>
  </si>
  <si>
    <t>Mai-2008</t>
  </si>
  <si>
    <t>Jun-2008</t>
  </si>
  <si>
    <t>Jul-2008</t>
  </si>
  <si>
    <t>Ago-2008</t>
  </si>
  <si>
    <t>Set-2008</t>
  </si>
  <si>
    <t>Out-2008</t>
  </si>
  <si>
    <t>Nov-2008</t>
  </si>
  <si>
    <t>Dez-2008</t>
  </si>
  <si>
    <t>Jan-2009</t>
  </si>
  <si>
    <t>Fev-2009</t>
  </si>
  <si>
    <t>Mar-2009</t>
  </si>
  <si>
    <t>Abr-2009</t>
  </si>
  <si>
    <t>Mai-2009</t>
  </si>
  <si>
    <t>Jun-2009</t>
  </si>
  <si>
    <t>Jul-2009</t>
  </si>
  <si>
    <t>Ago-2009</t>
  </si>
  <si>
    <t>Set-2009</t>
  </si>
  <si>
    <t>Out-2009</t>
  </si>
  <si>
    <t>Nov-2009</t>
  </si>
  <si>
    <t>Dez-2009</t>
  </si>
  <si>
    <t>Jan-2010</t>
  </si>
  <si>
    <t>Fev-2010</t>
  </si>
  <si>
    <t>Mar-2010</t>
  </si>
  <si>
    <t>Abr-2010</t>
  </si>
  <si>
    <t>Mai-2010</t>
  </si>
  <si>
    <t>Jun-2010</t>
  </si>
  <si>
    <t>Jul-2010</t>
  </si>
  <si>
    <t>Ago-2010</t>
  </si>
  <si>
    <t>Set-2010</t>
  </si>
  <si>
    <t>Out-2010</t>
  </si>
  <si>
    <t>Nov-2010</t>
  </si>
  <si>
    <t>Dez-2010</t>
  </si>
  <si>
    <t>Jan-2011</t>
  </si>
  <si>
    <t>Fev-2011</t>
  </si>
  <si>
    <t>Mar-2011</t>
  </si>
  <si>
    <t>Abr-2011</t>
  </si>
  <si>
    <t>Mai-2011</t>
  </si>
  <si>
    <t>Jun-2011</t>
  </si>
  <si>
    <t>Jul-2011</t>
  </si>
  <si>
    <t>Ago-2011</t>
  </si>
  <si>
    <t>Set-2011</t>
  </si>
  <si>
    <t>Out-2011</t>
  </si>
  <si>
    <t>Nov-2011</t>
  </si>
  <si>
    <t>Dez-2011</t>
  </si>
  <si>
    <t>Jan-2012</t>
  </si>
  <si>
    <t>Fev-2012</t>
  </si>
  <si>
    <t>Mar-2012</t>
  </si>
  <si>
    <t>Abr-2012</t>
  </si>
  <si>
    <t>Mai-2012</t>
  </si>
  <si>
    <t>Jun-2012</t>
  </si>
  <si>
    <t>Jul-2012</t>
  </si>
  <si>
    <t>Ago-2012</t>
  </si>
  <si>
    <t>Set-2012</t>
  </si>
  <si>
    <t>Out-2012</t>
  </si>
  <si>
    <t>Nov-2012</t>
  </si>
  <si>
    <t>Dez-2012</t>
  </si>
  <si>
    <t>Jan-2013</t>
  </si>
  <si>
    <t>Fev-2013</t>
  </si>
  <si>
    <t>Mar-2013</t>
  </si>
  <si>
    <t>Abr-2013</t>
  </si>
  <si>
    <t>Mai-2013</t>
  </si>
  <si>
    <t>Jun-2013</t>
  </si>
  <si>
    <t>Jul-2013</t>
  </si>
  <si>
    <t>Ago-2013</t>
  </si>
  <si>
    <t>Set-2013</t>
  </si>
  <si>
    <t>Out-2013</t>
  </si>
  <si>
    <t>Nov-2013</t>
  </si>
  <si>
    <t>Dez-2013</t>
  </si>
  <si>
    <t>Jan-2014</t>
  </si>
  <si>
    <t>Fev-2014</t>
  </si>
  <si>
    <t>Mar-2014</t>
  </si>
  <si>
    <t>Abr-2014</t>
  </si>
  <si>
    <t>Mai-2014</t>
  </si>
  <si>
    <t>Jun-2014</t>
  </si>
  <si>
    <t>Jul-2014</t>
  </si>
  <si>
    <t>Ago-2014</t>
  </si>
  <si>
    <t>Set-2014</t>
  </si>
  <si>
    <t>Out-2014</t>
  </si>
  <si>
    <t>Nov-2014</t>
  </si>
  <si>
    <t>Dez-2014</t>
  </si>
  <si>
    <t>Jan-2015</t>
  </si>
  <si>
    <t>Fev-2015</t>
  </si>
  <si>
    <t>Mar-2015</t>
  </si>
  <si>
    <t>Abr-2015</t>
  </si>
  <si>
    <t>Mai-2015</t>
  </si>
  <si>
    <t>Jun-2015</t>
  </si>
  <si>
    <t>Jul-2015</t>
  </si>
  <si>
    <t>Ago-2015</t>
  </si>
  <si>
    <t>Set-2015</t>
  </si>
  <si>
    <t>Out-2015</t>
  </si>
  <si>
    <t>Nov-2015</t>
  </si>
  <si>
    <t>Dez-2015</t>
  </si>
  <si>
    <t>Jan-2016</t>
  </si>
  <si>
    <t>Fev-2016</t>
  </si>
  <si>
    <t>Mar-2016</t>
  </si>
  <si>
    <t>Abr-2016</t>
  </si>
  <si>
    <t>Mai-2016</t>
  </si>
  <si>
    <t>Jun-2016</t>
  </si>
  <si>
    <t>Jul-2016</t>
  </si>
  <si>
    <t>Ago-2016</t>
  </si>
  <si>
    <t>Set-2016</t>
  </si>
  <si>
    <t>Out-2016</t>
  </si>
  <si>
    <t>Nov-2016</t>
  </si>
  <si>
    <t>Dez-2016</t>
  </si>
  <si>
    <t>Jan-2017</t>
  </si>
  <si>
    <t>Fev-2017</t>
  </si>
  <si>
    <t>Mar-2017</t>
  </si>
  <si>
    <t>Abr-2017</t>
  </si>
  <si>
    <t>Mai-2017</t>
  </si>
  <si>
    <t>Jun-2017</t>
  </si>
  <si>
    <t>Jul-2017</t>
  </si>
  <si>
    <t>Ago-2017</t>
  </si>
  <si>
    <t>Set-2017</t>
  </si>
  <si>
    <t>Out-2017</t>
  </si>
  <si>
    <t>Nov-2017</t>
  </si>
  <si>
    <t>Dez-2017</t>
  </si>
  <si>
    <t>Jan-2018</t>
  </si>
  <si>
    <t>Fev-2018</t>
  </si>
  <si>
    <t>Mar-2018</t>
  </si>
  <si>
    <t>Abr-2018</t>
  </si>
  <si>
    <t>Mai-2018</t>
  </si>
  <si>
    <t>Jun-2018</t>
  </si>
  <si>
    <t>Jul-2018</t>
  </si>
  <si>
    <t>Ago-2018</t>
  </si>
  <si>
    <t>Set-2018</t>
  </si>
  <si>
    <t>Out-2018</t>
  </si>
  <si>
    <t>Nov-2018</t>
  </si>
  <si>
    <t>Dez-2018</t>
  </si>
  <si>
    <t>Jan-2019</t>
  </si>
  <si>
    <t>Fev-2019</t>
  </si>
  <si>
    <t>Mar-2019</t>
  </si>
  <si>
    <t>Abr-2019</t>
  </si>
  <si>
    <t>Mai-2019</t>
  </si>
  <si>
    <t>Jun-2019</t>
  </si>
  <si>
    <t>Jul-2019</t>
  </si>
  <si>
    <t>Ago-2019</t>
  </si>
  <si>
    <t>Set-2019</t>
  </si>
  <si>
    <t>Out-2019</t>
  </si>
  <si>
    <t>Nov-2019</t>
  </si>
  <si>
    <t>Dez-2019</t>
  </si>
  <si>
    <t>Jan-2020</t>
  </si>
  <si>
    <t>Fev-2020</t>
  </si>
  <si>
    <t>Mar-2020</t>
  </si>
  <si>
    <t>Abr-2020</t>
  </si>
  <si>
    <t>Mai-2020</t>
  </si>
  <si>
    <t>Jun-2020</t>
  </si>
  <si>
    <t>Jul-2020</t>
  </si>
  <si>
    <t>Ago-2020</t>
  </si>
  <si>
    <t>Set-2020</t>
  </si>
  <si>
    <t>Out-2020</t>
  </si>
  <si>
    <t>Nov-2020</t>
  </si>
  <si>
    <t>Dez-2020</t>
  </si>
  <si>
    <t>Jan-2021</t>
  </si>
  <si>
    <t>Fev-2021</t>
  </si>
  <si>
    <t>Mar-2021</t>
  </si>
  <si>
    <t>Abr-2021</t>
  </si>
  <si>
    <t>Mai-2021</t>
  </si>
  <si>
    <t>Jun-2021</t>
  </si>
  <si>
    <t>Jul-2021</t>
  </si>
  <si>
    <t>Ago-2021</t>
  </si>
  <si>
    <t>Set-2021</t>
  </si>
  <si>
    <t>Out-2021</t>
  </si>
  <si>
    <t>Nov-2021</t>
  </si>
  <si>
    <t>Dez-2021</t>
  </si>
  <si>
    <t>Jan-2022</t>
  </si>
  <si>
    <t>Fev-2022</t>
  </si>
  <si>
    <t>Mar-2022</t>
  </si>
  <si>
    <t>Abr-2022</t>
  </si>
  <si>
    <t>Mai-2022</t>
  </si>
  <si>
    <t>Jun-2022</t>
  </si>
  <si>
    <t>Jul-2022</t>
  </si>
  <si>
    <t>Ago-2022</t>
  </si>
  <si>
    <t>Set-2022</t>
  </si>
  <si>
    <t>Out-2022</t>
  </si>
  <si>
    <t>Nov-2022</t>
  </si>
  <si>
    <t>Dez-2022</t>
  </si>
  <si>
    <t>Jan-2023</t>
  </si>
  <si>
    <t>Fev-2023</t>
  </si>
  <si>
    <t>Mar-2023</t>
  </si>
  <si>
    <t>Abr-2023</t>
  </si>
  <si>
    <t>Mai-2023</t>
  </si>
  <si>
    <t>Jun-2023</t>
  </si>
  <si>
    <t>Jul-2023</t>
  </si>
  <si>
    <t>Ago-2023</t>
  </si>
  <si>
    <t>Set-2023</t>
  </si>
  <si>
    <t>Out-2023</t>
  </si>
  <si>
    <t>Nov-2023</t>
  </si>
  <si>
    <t>Dez-2023</t>
  </si>
  <si>
    <t>Jan-2024</t>
  </si>
  <si>
    <t>Fev-2024</t>
  </si>
  <si>
    <t>Mar-2024</t>
  </si>
  <si>
    <t>Abr-2024</t>
  </si>
  <si>
    <t>Mai-2024</t>
  </si>
  <si>
    <t>Jun-2024</t>
  </si>
  <si>
    <t>Jul-2024</t>
  </si>
  <si>
    <t>Ago-2024</t>
  </si>
  <si>
    <t>Set-2024</t>
  </si>
  <si>
    <t>Out-2024</t>
  </si>
  <si>
    <t>Nov-2024</t>
  </si>
  <si>
    <t>Dez-2024</t>
  </si>
  <si>
    <t>Jan-2025</t>
  </si>
  <si>
    <t>Fev-2025</t>
  </si>
  <si>
    <t>Mar-2025</t>
  </si>
  <si>
    <t>Abr-2025</t>
  </si>
  <si>
    <t>CDI 252d</t>
  </si>
  <si>
    <t/>
  </si>
  <si>
    <t>Economatica</t>
  </si>
  <si>
    <t>CDI Acumul</t>
  </si>
  <si>
    <t>Ibovespa</t>
  </si>
  <si>
    <t>-</t>
  </si>
  <si>
    <t>Ibrx 50</t>
  </si>
  <si>
    <t>Ibrx Brasil</t>
  </si>
  <si>
    <t>valor do volume médio diário mínimo</t>
  </si>
  <si>
    <t>98-24</t>
  </si>
  <si>
    <t>96-24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</si>
</sst>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right" vertical="top" wrapText="1"/>
    </xf>
    <xf numFmtId="0" fontId="3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368"/>
  <sheetViews>
    <sheetView tabSelected="1" topLeftCell="A339" workbookViewId="0">
      <selection activeCell="I346" sqref="I346"/>
    </sheetView>
  </sheetViews>
  <sheetFormatPr defaultRowHeight="14.4" x14ac:dyDescent="0.3"/>
  <cols>
    <col min="1" max="1" width="9" customWidth="1"/>
    <col min="2" max="2" width="11" customWidth="1"/>
    <col min="3" max="3" width="9" customWidth="1"/>
  </cols>
  <sheetData>
    <row r="1" spans="1:6" x14ac:dyDescent="0.3">
      <c r="A1" s="6" t="s">
        <v>366</v>
      </c>
      <c r="B1" s="1" t="s">
        <v>368</v>
      </c>
    </row>
    <row r="2" spans="1:6" x14ac:dyDescent="0.3">
      <c r="A2" s="6" t="s">
        <v>367</v>
      </c>
    </row>
    <row r="4" spans="1:6" ht="30.6" x14ac:dyDescent="0.3">
      <c r="A4" s="2" t="s">
        <v>0</v>
      </c>
      <c r="B4" s="3" t="s">
        <v>1</v>
      </c>
      <c r="D4" t="s">
        <v>374</v>
      </c>
    </row>
    <row r="5" spans="1:6" x14ac:dyDescent="0.3">
      <c r="A5" s="4" t="s">
        <v>2</v>
      </c>
      <c r="B5" s="5">
        <v>56.661293030000003</v>
      </c>
    </row>
    <row r="6" spans="1:6" x14ac:dyDescent="0.3">
      <c r="A6" s="4" t="s">
        <v>3</v>
      </c>
      <c r="B6" s="5">
        <v>42.520378113</v>
      </c>
    </row>
    <row r="7" spans="1:6" x14ac:dyDescent="0.3">
      <c r="A7" s="4" t="s">
        <v>4</v>
      </c>
      <c r="B7" s="5">
        <v>85.409934997999997</v>
      </c>
      <c r="D7">
        <f t="shared" ref="D7:D70" si="0">D19/((100+B7)/100)</f>
        <v>27590.423749545458</v>
      </c>
      <c r="E7">
        <f t="shared" ref="E7:E70" si="1">E19/((100+B7)/100)</f>
        <v>55180.847499090916</v>
      </c>
      <c r="F7">
        <f t="shared" ref="F7:F70" si="2">F19/((100+B19)/100)</f>
        <v>102.31077347940997</v>
      </c>
    </row>
    <row r="8" spans="1:6" x14ac:dyDescent="0.3">
      <c r="A8" s="4" t="s">
        <v>5</v>
      </c>
      <c r="B8" s="5">
        <v>61.340316772000001</v>
      </c>
      <c r="D8">
        <f t="shared" si="0"/>
        <v>0</v>
      </c>
      <c r="E8">
        <f t="shared" si="1"/>
        <v>0</v>
      </c>
      <c r="F8">
        <f t="shared" si="2"/>
        <v>0</v>
      </c>
    </row>
    <row r="9" spans="1:6" x14ac:dyDescent="0.3">
      <c r="A9" s="4" t="s">
        <v>6</v>
      </c>
      <c r="B9" s="5">
        <v>60.935016632</v>
      </c>
      <c r="D9">
        <f t="shared" si="0"/>
        <v>0</v>
      </c>
      <c r="E9">
        <f t="shared" si="1"/>
        <v>0</v>
      </c>
      <c r="F9">
        <f t="shared" si="2"/>
        <v>0</v>
      </c>
    </row>
    <row r="10" spans="1:6" x14ac:dyDescent="0.3">
      <c r="A10" s="4" t="s">
        <v>7</v>
      </c>
      <c r="B10" s="5">
        <v>60.935016632</v>
      </c>
      <c r="D10">
        <f t="shared" si="0"/>
        <v>0</v>
      </c>
      <c r="E10">
        <f t="shared" si="1"/>
        <v>0</v>
      </c>
      <c r="F10">
        <f t="shared" si="2"/>
        <v>0</v>
      </c>
    </row>
    <row r="11" spans="1:6" x14ac:dyDescent="0.3">
      <c r="A11" s="4" t="s">
        <v>8</v>
      </c>
      <c r="B11" s="5">
        <v>52.117439269999998</v>
      </c>
      <c r="D11">
        <f t="shared" si="0"/>
        <v>0</v>
      </c>
      <c r="E11">
        <f t="shared" si="1"/>
        <v>0</v>
      </c>
      <c r="F11">
        <f t="shared" si="2"/>
        <v>0</v>
      </c>
    </row>
    <row r="12" spans="1:6" x14ac:dyDescent="0.3">
      <c r="A12" s="4" t="s">
        <v>9</v>
      </c>
      <c r="B12" s="5">
        <v>50.215885161999999</v>
      </c>
      <c r="D12">
        <f t="shared" si="0"/>
        <v>0</v>
      </c>
      <c r="E12">
        <f t="shared" si="1"/>
        <v>0</v>
      </c>
      <c r="F12">
        <f t="shared" si="2"/>
        <v>0</v>
      </c>
    </row>
    <row r="13" spans="1:6" x14ac:dyDescent="0.3">
      <c r="A13" s="4" t="s">
        <v>10</v>
      </c>
      <c r="B13" s="5">
        <v>43.708820342999999</v>
      </c>
      <c r="D13">
        <f t="shared" si="0"/>
        <v>0</v>
      </c>
      <c r="E13">
        <f t="shared" si="1"/>
        <v>0</v>
      </c>
      <c r="F13">
        <f t="shared" si="2"/>
        <v>0</v>
      </c>
    </row>
    <row r="14" spans="1:6" x14ac:dyDescent="0.3">
      <c r="A14" s="4" t="s">
        <v>11</v>
      </c>
      <c r="B14" s="5">
        <v>42.376991271999998</v>
      </c>
      <c r="D14">
        <f t="shared" si="0"/>
        <v>0</v>
      </c>
      <c r="E14">
        <f t="shared" si="1"/>
        <v>0</v>
      </c>
      <c r="F14">
        <f t="shared" si="2"/>
        <v>0</v>
      </c>
    </row>
    <row r="15" spans="1:6" x14ac:dyDescent="0.3">
      <c r="A15" s="4" t="s">
        <v>12</v>
      </c>
      <c r="B15" s="5">
        <v>39.433925629000001</v>
      </c>
      <c r="D15">
        <f t="shared" si="0"/>
        <v>0</v>
      </c>
      <c r="E15">
        <f t="shared" si="1"/>
        <v>0</v>
      </c>
      <c r="F15">
        <f t="shared" si="2"/>
        <v>0</v>
      </c>
    </row>
    <row r="16" spans="1:6" x14ac:dyDescent="0.3">
      <c r="A16" s="4" t="s">
        <v>13</v>
      </c>
      <c r="B16" s="5">
        <v>36.757827759000001</v>
      </c>
      <c r="D16">
        <f t="shared" si="0"/>
        <v>0</v>
      </c>
      <c r="E16">
        <f t="shared" si="1"/>
        <v>0</v>
      </c>
      <c r="F16">
        <f t="shared" si="2"/>
        <v>0</v>
      </c>
    </row>
    <row r="17" spans="1:6" x14ac:dyDescent="0.3">
      <c r="A17" s="4" t="s">
        <v>14</v>
      </c>
      <c r="B17" s="5">
        <v>35.831619263</v>
      </c>
      <c r="D17">
        <f t="shared" si="0"/>
        <v>0</v>
      </c>
      <c r="E17">
        <f t="shared" si="1"/>
        <v>0</v>
      </c>
      <c r="F17">
        <f t="shared" si="2"/>
        <v>0</v>
      </c>
    </row>
    <row r="18" spans="1:6" x14ac:dyDescent="0.3">
      <c r="A18" s="4" t="s">
        <v>15</v>
      </c>
      <c r="B18" s="5">
        <v>29.716567993000002</v>
      </c>
      <c r="D18">
        <f t="shared" si="0"/>
        <v>0</v>
      </c>
      <c r="E18">
        <f t="shared" si="1"/>
        <v>0</v>
      </c>
      <c r="F18">
        <f t="shared" si="2"/>
        <v>0</v>
      </c>
    </row>
    <row r="19" spans="1:6" x14ac:dyDescent="0.3">
      <c r="A19" s="4" t="s">
        <v>16</v>
      </c>
      <c r="B19" s="5">
        <v>29.618640899999999</v>
      </c>
      <c r="D19">
        <f t="shared" si="0"/>
        <v>51155.386739704983</v>
      </c>
      <c r="E19">
        <f t="shared" si="1"/>
        <v>102310.77347940997</v>
      </c>
      <c r="F19">
        <f t="shared" si="2"/>
        <v>132.61383407828885</v>
      </c>
    </row>
    <row r="20" spans="1:6" x14ac:dyDescent="0.3">
      <c r="A20" s="4" t="s">
        <v>17</v>
      </c>
      <c r="B20" s="5">
        <v>24.815002441000001</v>
      </c>
      <c r="D20">
        <f t="shared" si="0"/>
        <v>0</v>
      </c>
      <c r="E20">
        <f t="shared" si="1"/>
        <v>0</v>
      </c>
      <c r="F20">
        <f t="shared" si="2"/>
        <v>0</v>
      </c>
    </row>
    <row r="21" spans="1:6" x14ac:dyDescent="0.3">
      <c r="A21" s="4" t="s">
        <v>18</v>
      </c>
      <c r="B21" s="5">
        <v>28.967668533000001</v>
      </c>
      <c r="D21">
        <f t="shared" si="0"/>
        <v>0</v>
      </c>
      <c r="E21">
        <f t="shared" si="1"/>
        <v>0</v>
      </c>
      <c r="F21">
        <f t="shared" si="2"/>
        <v>0</v>
      </c>
    </row>
    <row r="22" spans="1:6" x14ac:dyDescent="0.3">
      <c r="A22" s="4" t="s">
        <v>19</v>
      </c>
      <c r="B22" s="5">
        <v>23.253526688000001</v>
      </c>
      <c r="D22">
        <f t="shared" si="0"/>
        <v>0</v>
      </c>
      <c r="E22">
        <f t="shared" si="1"/>
        <v>0</v>
      </c>
      <c r="F22">
        <f t="shared" si="2"/>
        <v>0</v>
      </c>
    </row>
    <row r="23" spans="1:6" x14ac:dyDescent="0.3">
      <c r="A23" s="4" t="s">
        <v>20</v>
      </c>
      <c r="B23" s="5">
        <v>24.094291686999998</v>
      </c>
      <c r="D23">
        <f t="shared" si="0"/>
        <v>0</v>
      </c>
      <c r="E23">
        <f t="shared" si="1"/>
        <v>0</v>
      </c>
      <c r="F23">
        <f t="shared" si="2"/>
        <v>0</v>
      </c>
    </row>
    <row r="24" spans="1:6" x14ac:dyDescent="0.3">
      <c r="A24" s="4" t="s">
        <v>21</v>
      </c>
      <c r="B24" s="5">
        <v>24.595216750999999</v>
      </c>
      <c r="D24">
        <f t="shared" si="0"/>
        <v>0</v>
      </c>
      <c r="E24">
        <f t="shared" si="1"/>
        <v>0</v>
      </c>
      <c r="F24">
        <f t="shared" si="2"/>
        <v>0</v>
      </c>
    </row>
    <row r="25" spans="1:6" x14ac:dyDescent="0.3">
      <c r="A25" s="4" t="s">
        <v>22</v>
      </c>
      <c r="B25" s="5">
        <v>23.439872741999999</v>
      </c>
      <c r="D25">
        <f t="shared" si="0"/>
        <v>0</v>
      </c>
      <c r="E25">
        <f t="shared" si="1"/>
        <v>0</v>
      </c>
      <c r="F25">
        <f t="shared" si="2"/>
        <v>0</v>
      </c>
    </row>
    <row r="26" spans="1:6" x14ac:dyDescent="0.3">
      <c r="A26" s="4" t="s">
        <v>23</v>
      </c>
      <c r="B26" s="5">
        <v>24.909315109000001</v>
      </c>
      <c r="D26">
        <f t="shared" si="0"/>
        <v>0</v>
      </c>
      <c r="E26">
        <f t="shared" si="1"/>
        <v>0</v>
      </c>
      <c r="F26">
        <f t="shared" si="2"/>
        <v>0</v>
      </c>
    </row>
    <row r="27" spans="1:6" x14ac:dyDescent="0.3">
      <c r="A27" s="4" t="s">
        <v>24</v>
      </c>
      <c r="B27" s="5">
        <v>23.439872741999999</v>
      </c>
      <c r="D27">
        <f t="shared" si="0"/>
        <v>0</v>
      </c>
      <c r="E27">
        <f t="shared" si="1"/>
        <v>0</v>
      </c>
      <c r="F27">
        <f t="shared" si="2"/>
        <v>0</v>
      </c>
    </row>
    <row r="28" spans="1:6" x14ac:dyDescent="0.3">
      <c r="A28" s="4" t="s">
        <v>25</v>
      </c>
      <c r="B28" s="5">
        <v>23.346664429</v>
      </c>
      <c r="D28">
        <f t="shared" si="0"/>
        <v>0</v>
      </c>
      <c r="E28">
        <f t="shared" si="1"/>
        <v>0</v>
      </c>
      <c r="F28">
        <f t="shared" si="2"/>
        <v>0</v>
      </c>
    </row>
    <row r="29" spans="1:6" x14ac:dyDescent="0.3">
      <c r="A29" s="4" t="s">
        <v>26</v>
      </c>
      <c r="B29" s="5">
        <v>25.951452255</v>
      </c>
      <c r="D29">
        <f t="shared" si="0"/>
        <v>0</v>
      </c>
      <c r="E29">
        <f t="shared" si="1"/>
        <v>0</v>
      </c>
      <c r="F29">
        <f t="shared" si="2"/>
        <v>0</v>
      </c>
    </row>
    <row r="30" spans="1:6" x14ac:dyDescent="0.3">
      <c r="A30" s="4" t="s">
        <v>27</v>
      </c>
      <c r="B30" s="5">
        <v>23.96937561</v>
      </c>
      <c r="D30">
        <f t="shared" si="0"/>
        <v>0</v>
      </c>
      <c r="E30">
        <f t="shared" si="1"/>
        <v>0</v>
      </c>
      <c r="F30">
        <f t="shared" si="2"/>
        <v>0</v>
      </c>
    </row>
    <row r="31" spans="1:6" x14ac:dyDescent="0.3">
      <c r="A31" s="4" t="s">
        <v>28</v>
      </c>
      <c r="B31" s="5">
        <v>20.978181839000001</v>
      </c>
      <c r="D31">
        <f t="shared" si="0"/>
        <v>66306.91703914442</v>
      </c>
      <c r="E31">
        <f t="shared" si="1"/>
        <v>132613.83407828884</v>
      </c>
      <c r="F31">
        <f t="shared" si="2"/>
        <v>160.43380533490202</v>
      </c>
    </row>
    <row r="32" spans="1:6" x14ac:dyDescent="0.3">
      <c r="A32" s="4" t="s">
        <v>29</v>
      </c>
      <c r="B32" s="5">
        <v>22.110576630000001</v>
      </c>
      <c r="D32">
        <f t="shared" si="0"/>
        <v>0</v>
      </c>
      <c r="E32">
        <f t="shared" si="1"/>
        <v>0</v>
      </c>
      <c r="F32">
        <f t="shared" si="2"/>
        <v>0</v>
      </c>
    </row>
    <row r="33" spans="1:6" x14ac:dyDescent="0.3">
      <c r="A33" s="4" t="s">
        <v>30</v>
      </c>
      <c r="B33" s="5">
        <v>20.673927307</v>
      </c>
      <c r="D33">
        <f t="shared" si="0"/>
        <v>0</v>
      </c>
      <c r="E33">
        <f t="shared" si="1"/>
        <v>0</v>
      </c>
      <c r="F33">
        <f t="shared" si="2"/>
        <v>0</v>
      </c>
    </row>
    <row r="34" spans="1:6" x14ac:dyDescent="0.3">
      <c r="A34" s="4" t="s">
        <v>31</v>
      </c>
      <c r="B34" s="5">
        <v>18.864349364999999</v>
      </c>
      <c r="D34">
        <f t="shared" si="0"/>
        <v>0</v>
      </c>
      <c r="E34">
        <f t="shared" si="1"/>
        <v>0</v>
      </c>
      <c r="F34">
        <f t="shared" si="2"/>
        <v>0</v>
      </c>
    </row>
    <row r="35" spans="1:6" x14ac:dyDescent="0.3">
      <c r="A35" s="4" t="s">
        <v>32</v>
      </c>
      <c r="B35" s="5">
        <v>20.795537949</v>
      </c>
      <c r="D35">
        <f t="shared" si="0"/>
        <v>0</v>
      </c>
      <c r="E35">
        <f t="shared" si="1"/>
        <v>0</v>
      </c>
      <c r="F35">
        <f t="shared" si="2"/>
        <v>0</v>
      </c>
    </row>
    <row r="36" spans="1:6" x14ac:dyDescent="0.3">
      <c r="A36" s="4" t="s">
        <v>33</v>
      </c>
      <c r="B36" s="5">
        <v>19.886432648</v>
      </c>
      <c r="D36">
        <f t="shared" si="0"/>
        <v>0</v>
      </c>
      <c r="E36">
        <f t="shared" si="1"/>
        <v>0</v>
      </c>
      <c r="F36">
        <f t="shared" si="2"/>
        <v>0</v>
      </c>
    </row>
    <row r="37" spans="1:6" x14ac:dyDescent="0.3">
      <c r="A37" s="4" t="s">
        <v>34</v>
      </c>
      <c r="B37" s="5">
        <v>18.984142302999999</v>
      </c>
      <c r="D37">
        <f t="shared" si="0"/>
        <v>0</v>
      </c>
      <c r="E37">
        <f t="shared" si="1"/>
        <v>0</v>
      </c>
      <c r="F37">
        <f t="shared" si="2"/>
        <v>0</v>
      </c>
    </row>
    <row r="38" spans="1:6" x14ac:dyDescent="0.3">
      <c r="A38" s="4" t="s">
        <v>35</v>
      </c>
      <c r="B38" s="5">
        <v>47.370773315000001</v>
      </c>
      <c r="D38">
        <f t="shared" si="0"/>
        <v>0</v>
      </c>
      <c r="E38">
        <f t="shared" si="1"/>
        <v>0</v>
      </c>
      <c r="F38">
        <f t="shared" si="2"/>
        <v>0</v>
      </c>
    </row>
    <row r="39" spans="1:6" x14ac:dyDescent="0.3">
      <c r="A39" s="4" t="s">
        <v>36</v>
      </c>
      <c r="B39" s="5">
        <v>38.733860016000001</v>
      </c>
      <c r="D39">
        <f t="shared" si="0"/>
        <v>0</v>
      </c>
      <c r="E39">
        <f t="shared" si="1"/>
        <v>0</v>
      </c>
      <c r="F39">
        <f t="shared" si="2"/>
        <v>0</v>
      </c>
    </row>
    <row r="40" spans="1:6" x14ac:dyDescent="0.3">
      <c r="A40" s="4" t="s">
        <v>37</v>
      </c>
      <c r="B40" s="5">
        <v>39.083454132</v>
      </c>
      <c r="D40">
        <f t="shared" si="0"/>
        <v>0</v>
      </c>
      <c r="E40">
        <f t="shared" si="1"/>
        <v>0</v>
      </c>
      <c r="F40">
        <f t="shared" si="2"/>
        <v>0</v>
      </c>
    </row>
    <row r="41" spans="1:6" x14ac:dyDescent="0.3">
      <c r="A41" s="4" t="s">
        <v>38</v>
      </c>
      <c r="B41" s="5">
        <v>34.25</v>
      </c>
      <c r="D41">
        <f t="shared" si="0"/>
        <v>0</v>
      </c>
      <c r="E41">
        <f t="shared" si="1"/>
        <v>0</v>
      </c>
      <c r="F41">
        <f t="shared" si="2"/>
        <v>0</v>
      </c>
    </row>
    <row r="42" spans="1:6" x14ac:dyDescent="0.3">
      <c r="A42" s="4" t="s">
        <v>39</v>
      </c>
      <c r="B42" s="5">
        <v>33.279998779000003</v>
      </c>
      <c r="D42">
        <f t="shared" si="0"/>
        <v>0</v>
      </c>
      <c r="E42">
        <f t="shared" si="1"/>
        <v>0</v>
      </c>
      <c r="F42">
        <f t="shared" si="2"/>
        <v>0</v>
      </c>
    </row>
    <row r="43" spans="1:6" x14ac:dyDescent="0.3">
      <c r="A43" s="4" t="s">
        <v>40</v>
      </c>
      <c r="B43" s="5">
        <v>27.219999312999999</v>
      </c>
      <c r="D43">
        <f t="shared" si="0"/>
        <v>80216.90266745101</v>
      </c>
      <c r="E43">
        <f t="shared" si="1"/>
        <v>160433.80533490202</v>
      </c>
      <c r="F43">
        <f t="shared" si="2"/>
        <v>204.10388604488213</v>
      </c>
    </row>
    <row r="44" spans="1:6" x14ac:dyDescent="0.3">
      <c r="A44" s="4" t="s">
        <v>41</v>
      </c>
      <c r="B44" s="5">
        <v>22.829999923999999</v>
      </c>
      <c r="D44">
        <f t="shared" si="0"/>
        <v>0</v>
      </c>
      <c r="E44">
        <f t="shared" si="1"/>
        <v>0</v>
      </c>
      <c r="F44">
        <f t="shared" si="2"/>
        <v>0</v>
      </c>
    </row>
    <row r="45" spans="1:6" x14ac:dyDescent="0.3">
      <c r="A45" s="4" t="s">
        <v>42</v>
      </c>
      <c r="B45" s="5">
        <v>21.5</v>
      </c>
      <c r="D45">
        <f t="shared" si="0"/>
        <v>0</v>
      </c>
      <c r="E45">
        <f t="shared" si="1"/>
        <v>0</v>
      </c>
      <c r="F45">
        <f t="shared" si="2"/>
        <v>0</v>
      </c>
    </row>
    <row r="46" spans="1:6" x14ac:dyDescent="0.3">
      <c r="A46" s="4" t="s">
        <v>43</v>
      </c>
      <c r="B46" s="5">
        <v>20.430000305</v>
      </c>
      <c r="D46">
        <f t="shared" si="0"/>
        <v>0</v>
      </c>
      <c r="E46">
        <f t="shared" si="1"/>
        <v>0</v>
      </c>
      <c r="F46">
        <f t="shared" si="2"/>
        <v>0</v>
      </c>
    </row>
    <row r="47" spans="1:6" x14ac:dyDescent="0.3">
      <c r="A47" s="4" t="s">
        <v>44</v>
      </c>
      <c r="B47" s="5">
        <v>19.540000916</v>
      </c>
      <c r="D47">
        <f t="shared" si="0"/>
        <v>0</v>
      </c>
      <c r="E47">
        <f t="shared" si="1"/>
        <v>0</v>
      </c>
      <c r="F47">
        <f t="shared" si="2"/>
        <v>0</v>
      </c>
    </row>
    <row r="48" spans="1:6" x14ac:dyDescent="0.3">
      <c r="A48" s="4" t="s">
        <v>45</v>
      </c>
      <c r="B48" s="5">
        <v>18.989999771000001</v>
      </c>
      <c r="D48">
        <f t="shared" si="0"/>
        <v>0</v>
      </c>
      <c r="E48">
        <f t="shared" si="1"/>
        <v>0</v>
      </c>
      <c r="F48">
        <f t="shared" si="2"/>
        <v>0</v>
      </c>
    </row>
    <row r="49" spans="1:6" x14ac:dyDescent="0.3">
      <c r="A49" s="4" t="s">
        <v>46</v>
      </c>
      <c r="B49" s="5">
        <v>40.25</v>
      </c>
      <c r="D49">
        <f t="shared" si="0"/>
        <v>0</v>
      </c>
      <c r="E49">
        <f t="shared" si="1"/>
        <v>0</v>
      </c>
      <c r="F49">
        <f t="shared" si="2"/>
        <v>0</v>
      </c>
    </row>
    <row r="50" spans="1:6" x14ac:dyDescent="0.3">
      <c r="A50" s="4" t="s">
        <v>47</v>
      </c>
      <c r="B50" s="5">
        <v>42.119998932000001</v>
      </c>
      <c r="D50">
        <f t="shared" si="0"/>
        <v>0</v>
      </c>
      <c r="E50">
        <f t="shared" si="1"/>
        <v>0</v>
      </c>
      <c r="F50">
        <f t="shared" si="2"/>
        <v>0</v>
      </c>
    </row>
    <row r="51" spans="1:6" x14ac:dyDescent="0.3">
      <c r="A51" s="4" t="s">
        <v>48</v>
      </c>
      <c r="B51" s="5">
        <v>34.209999084000003</v>
      </c>
      <c r="D51">
        <f t="shared" si="0"/>
        <v>0</v>
      </c>
      <c r="E51">
        <f t="shared" si="1"/>
        <v>0</v>
      </c>
      <c r="F51">
        <f t="shared" si="2"/>
        <v>0</v>
      </c>
    </row>
    <row r="52" spans="1:6" x14ac:dyDescent="0.3">
      <c r="A52" s="4" t="s">
        <v>49</v>
      </c>
      <c r="B52" s="5">
        <v>29.030000687000001</v>
      </c>
      <c r="D52">
        <f t="shared" si="0"/>
        <v>0</v>
      </c>
      <c r="E52">
        <f t="shared" si="1"/>
        <v>0</v>
      </c>
      <c r="F52">
        <f t="shared" si="2"/>
        <v>0</v>
      </c>
    </row>
    <row r="53" spans="1:6" x14ac:dyDescent="0.3">
      <c r="A53" s="4" t="s">
        <v>50</v>
      </c>
      <c r="B53" s="5">
        <v>37.369998932000001</v>
      </c>
      <c r="D53">
        <f t="shared" si="0"/>
        <v>0</v>
      </c>
      <c r="E53">
        <f t="shared" si="1"/>
        <v>0</v>
      </c>
      <c r="F53">
        <f t="shared" si="2"/>
        <v>0</v>
      </c>
    </row>
    <row r="54" spans="1:6" x14ac:dyDescent="0.3">
      <c r="A54" s="4" t="s">
        <v>51</v>
      </c>
      <c r="B54" s="5">
        <v>38.409999847000002</v>
      </c>
      <c r="D54">
        <f t="shared" si="0"/>
        <v>0</v>
      </c>
      <c r="E54">
        <f t="shared" si="1"/>
        <v>0</v>
      </c>
      <c r="F54">
        <f t="shared" si="2"/>
        <v>0</v>
      </c>
    </row>
    <row r="55" spans="1:6" x14ac:dyDescent="0.3">
      <c r="A55" s="4" t="s">
        <v>52</v>
      </c>
      <c r="B55" s="5">
        <v>39.259998322000001</v>
      </c>
      <c r="D55">
        <f t="shared" si="0"/>
        <v>102051.94302244106</v>
      </c>
      <c r="E55">
        <f t="shared" si="1"/>
        <v>204103.88604488212</v>
      </c>
      <c r="F55">
        <f t="shared" si="2"/>
        <v>284.23506828123965</v>
      </c>
    </row>
    <row r="56" spans="1:6" x14ac:dyDescent="0.3">
      <c r="A56" s="4" t="s">
        <v>53</v>
      </c>
      <c r="B56" s="5">
        <v>31.409999847000002</v>
      </c>
      <c r="D56">
        <f t="shared" si="0"/>
        <v>0</v>
      </c>
      <c r="E56">
        <f t="shared" si="1"/>
        <v>0</v>
      </c>
      <c r="F56">
        <f t="shared" si="2"/>
        <v>0</v>
      </c>
    </row>
    <row r="57" spans="1:6" x14ac:dyDescent="0.3">
      <c r="A57" s="4" t="s">
        <v>54</v>
      </c>
      <c r="B57" s="5">
        <v>22.379999161000001</v>
      </c>
      <c r="D57">
        <f t="shared" si="0"/>
        <v>0</v>
      </c>
      <c r="E57">
        <f t="shared" si="1"/>
        <v>0</v>
      </c>
      <c r="F57">
        <f t="shared" si="2"/>
        <v>0</v>
      </c>
    </row>
    <row r="58" spans="1:6" x14ac:dyDescent="0.3">
      <c r="A58" s="4" t="s">
        <v>55</v>
      </c>
      <c r="B58" s="5">
        <v>20.510000228999999</v>
      </c>
      <c r="D58">
        <f t="shared" si="0"/>
        <v>0</v>
      </c>
      <c r="E58">
        <f t="shared" si="1"/>
        <v>0</v>
      </c>
      <c r="F58">
        <f t="shared" si="2"/>
        <v>0</v>
      </c>
    </row>
    <row r="59" spans="1:6" x14ac:dyDescent="0.3">
      <c r="A59" s="4" t="s">
        <v>56</v>
      </c>
      <c r="B59" s="5">
        <v>19.280000687000001</v>
      </c>
      <c r="D59">
        <f t="shared" si="0"/>
        <v>0</v>
      </c>
      <c r="E59">
        <f t="shared" si="1"/>
        <v>0</v>
      </c>
      <c r="F59">
        <f t="shared" si="2"/>
        <v>0</v>
      </c>
    </row>
    <row r="60" spans="1:6" x14ac:dyDescent="0.3">
      <c r="A60" s="4" t="s">
        <v>57</v>
      </c>
      <c r="B60" s="5">
        <v>19.209999084</v>
      </c>
      <c r="D60">
        <f t="shared" si="0"/>
        <v>0</v>
      </c>
      <c r="E60">
        <f t="shared" si="1"/>
        <v>0</v>
      </c>
      <c r="F60">
        <f t="shared" si="2"/>
        <v>0</v>
      </c>
    </row>
    <row r="61" spans="1:6" x14ac:dyDescent="0.3">
      <c r="A61" s="4" t="s">
        <v>58</v>
      </c>
      <c r="B61" s="5">
        <v>18.86000061</v>
      </c>
      <c r="D61">
        <f t="shared" si="0"/>
        <v>0</v>
      </c>
      <c r="E61">
        <f t="shared" si="1"/>
        <v>0</v>
      </c>
      <c r="F61">
        <f t="shared" si="2"/>
        <v>0</v>
      </c>
    </row>
    <row r="62" spans="1:6" x14ac:dyDescent="0.3">
      <c r="A62" s="4" t="s">
        <v>59</v>
      </c>
      <c r="B62" s="5">
        <v>18.700000762999998</v>
      </c>
      <c r="D62">
        <f t="shared" si="0"/>
        <v>0</v>
      </c>
      <c r="E62">
        <f t="shared" si="1"/>
        <v>0</v>
      </c>
      <c r="F62">
        <f t="shared" si="2"/>
        <v>0</v>
      </c>
    </row>
    <row r="63" spans="1:6" x14ac:dyDescent="0.3">
      <c r="A63" s="4" t="s">
        <v>60</v>
      </c>
      <c r="B63" s="5">
        <v>18.809999466000001</v>
      </c>
      <c r="D63">
        <f t="shared" si="0"/>
        <v>0</v>
      </c>
      <c r="E63">
        <f t="shared" si="1"/>
        <v>0</v>
      </c>
      <c r="F63">
        <f t="shared" si="2"/>
        <v>0</v>
      </c>
    </row>
    <row r="64" spans="1:6" x14ac:dyDescent="0.3">
      <c r="A64" s="4" t="s">
        <v>61</v>
      </c>
      <c r="B64" s="5">
        <v>18.829999923999999</v>
      </c>
      <c r="D64">
        <f t="shared" si="0"/>
        <v>0</v>
      </c>
      <c r="E64">
        <f t="shared" si="1"/>
        <v>0</v>
      </c>
      <c r="F64">
        <f t="shared" si="2"/>
        <v>0</v>
      </c>
    </row>
    <row r="65" spans="1:6" x14ac:dyDescent="0.3">
      <c r="A65" s="4" t="s">
        <v>62</v>
      </c>
      <c r="B65" s="5">
        <v>18.680000305</v>
      </c>
      <c r="D65">
        <f t="shared" si="0"/>
        <v>0</v>
      </c>
      <c r="E65">
        <f t="shared" si="1"/>
        <v>0</v>
      </c>
      <c r="F65">
        <f t="shared" si="2"/>
        <v>0</v>
      </c>
    </row>
    <row r="66" spans="1:6" x14ac:dyDescent="0.3">
      <c r="A66" s="4" t="s">
        <v>63</v>
      </c>
      <c r="B66" s="5">
        <v>18.760000228999999</v>
      </c>
      <c r="D66">
        <f t="shared" si="0"/>
        <v>0</v>
      </c>
      <c r="E66">
        <f t="shared" si="1"/>
        <v>0</v>
      </c>
      <c r="F66">
        <f t="shared" si="2"/>
        <v>0</v>
      </c>
    </row>
    <row r="67" spans="1:6" x14ac:dyDescent="0.3">
      <c r="A67" s="4" t="s">
        <v>64</v>
      </c>
      <c r="B67" s="5">
        <v>18.370000838999999</v>
      </c>
      <c r="D67">
        <f t="shared" si="0"/>
        <v>142117.53414061983</v>
      </c>
      <c r="E67">
        <f t="shared" si="1"/>
        <v>284235.06828123966</v>
      </c>
      <c r="F67">
        <f t="shared" si="2"/>
        <v>336.44905270923562</v>
      </c>
    </row>
    <row r="68" spans="1:6" x14ac:dyDescent="0.3">
      <c r="A68" s="4" t="s">
        <v>65</v>
      </c>
      <c r="B68" s="5">
        <v>18.469999312999999</v>
      </c>
      <c r="D68">
        <f t="shared" si="0"/>
        <v>0</v>
      </c>
      <c r="E68">
        <f t="shared" si="1"/>
        <v>0</v>
      </c>
      <c r="F68">
        <f t="shared" si="2"/>
        <v>0</v>
      </c>
    </row>
    <row r="69" spans="1:6" x14ac:dyDescent="0.3">
      <c r="A69" s="4" t="s">
        <v>66</v>
      </c>
      <c r="B69" s="5">
        <v>18.38999939</v>
      </c>
      <c r="D69">
        <f t="shared" si="0"/>
        <v>0</v>
      </c>
      <c r="E69">
        <f t="shared" si="1"/>
        <v>0</v>
      </c>
      <c r="F69">
        <f t="shared" si="2"/>
        <v>0</v>
      </c>
    </row>
    <row r="70" spans="1:6" x14ac:dyDescent="0.3">
      <c r="A70" s="4" t="s">
        <v>67</v>
      </c>
      <c r="B70" s="5">
        <v>17.209999084</v>
      </c>
      <c r="D70">
        <f t="shared" si="0"/>
        <v>0</v>
      </c>
      <c r="E70">
        <f t="shared" si="1"/>
        <v>0</v>
      </c>
      <c r="F70">
        <f t="shared" si="2"/>
        <v>0</v>
      </c>
    </row>
    <row r="71" spans="1:6" x14ac:dyDescent="0.3">
      <c r="A71" s="4" t="s">
        <v>68</v>
      </c>
      <c r="B71" s="5">
        <v>16.379999161000001</v>
      </c>
      <c r="D71">
        <f t="shared" ref="D71:D134" si="3">D83/((100+B71)/100)</f>
        <v>0</v>
      </c>
      <c r="E71">
        <f t="shared" ref="E71:E134" si="4">E83/((100+B71)/100)</f>
        <v>0</v>
      </c>
      <c r="F71">
        <f t="shared" ref="F71:F134" si="5">F83/((100+B83)/100)</f>
        <v>0</v>
      </c>
    </row>
    <row r="72" spans="1:6" x14ac:dyDescent="0.3">
      <c r="A72" s="4" t="s">
        <v>69</v>
      </c>
      <c r="B72" s="5">
        <v>16.370000838999999</v>
      </c>
      <c r="D72">
        <f t="shared" si="3"/>
        <v>0</v>
      </c>
      <c r="E72">
        <f t="shared" si="4"/>
        <v>0</v>
      </c>
      <c r="F72">
        <f t="shared" si="5"/>
        <v>0</v>
      </c>
    </row>
    <row r="73" spans="1:6" x14ac:dyDescent="0.3">
      <c r="A73" s="4" t="s">
        <v>70</v>
      </c>
      <c r="B73" s="5">
        <v>16.489999771000001</v>
      </c>
      <c r="D73">
        <f t="shared" si="3"/>
        <v>0</v>
      </c>
      <c r="E73">
        <f t="shared" si="4"/>
        <v>0</v>
      </c>
      <c r="F73">
        <f t="shared" si="5"/>
        <v>0</v>
      </c>
    </row>
    <row r="74" spans="1:6" x14ac:dyDescent="0.3">
      <c r="A74" s="4" t="s">
        <v>71</v>
      </c>
      <c r="B74" s="5">
        <v>16.489999771000001</v>
      </c>
      <c r="D74">
        <f t="shared" si="3"/>
        <v>0</v>
      </c>
      <c r="E74">
        <f t="shared" si="4"/>
        <v>0</v>
      </c>
      <c r="F74">
        <f t="shared" si="5"/>
        <v>0</v>
      </c>
    </row>
    <row r="75" spans="1:6" x14ac:dyDescent="0.3">
      <c r="A75" s="4" t="s">
        <v>72</v>
      </c>
      <c r="B75" s="5">
        <v>16.36000061</v>
      </c>
      <c r="D75">
        <f t="shared" si="3"/>
        <v>0</v>
      </c>
      <c r="E75">
        <f t="shared" si="4"/>
        <v>0</v>
      </c>
      <c r="F75">
        <f t="shared" si="5"/>
        <v>0</v>
      </c>
    </row>
    <row r="76" spans="1:6" x14ac:dyDescent="0.3">
      <c r="A76" s="4" t="s">
        <v>73</v>
      </c>
      <c r="B76" s="5">
        <v>15.720000267</v>
      </c>
      <c r="D76">
        <f t="shared" si="3"/>
        <v>0</v>
      </c>
      <c r="E76">
        <f t="shared" si="4"/>
        <v>0</v>
      </c>
      <c r="F76">
        <f t="shared" si="5"/>
        <v>0</v>
      </c>
    </row>
    <row r="77" spans="1:6" x14ac:dyDescent="0.3">
      <c r="A77" s="4" t="s">
        <v>74</v>
      </c>
      <c r="B77" s="5">
        <v>15.039999960999999</v>
      </c>
      <c r="D77">
        <f t="shared" si="3"/>
        <v>0</v>
      </c>
      <c r="E77">
        <f t="shared" si="4"/>
        <v>0</v>
      </c>
      <c r="F77">
        <f t="shared" si="5"/>
        <v>0</v>
      </c>
    </row>
    <row r="78" spans="1:6" x14ac:dyDescent="0.3">
      <c r="A78" s="4" t="s">
        <v>75</v>
      </c>
      <c r="B78" s="5">
        <v>15.119999885</v>
      </c>
      <c r="D78">
        <f t="shared" si="3"/>
        <v>0</v>
      </c>
      <c r="E78">
        <f t="shared" si="4"/>
        <v>0</v>
      </c>
      <c r="F78">
        <f t="shared" si="5"/>
        <v>0</v>
      </c>
    </row>
    <row r="79" spans="1:6" x14ac:dyDescent="0.3">
      <c r="A79" s="4" t="s">
        <v>76</v>
      </c>
      <c r="B79" s="5">
        <v>15.720000267</v>
      </c>
      <c r="D79">
        <f t="shared" si="3"/>
        <v>168224.52635461779</v>
      </c>
      <c r="E79">
        <f t="shared" si="4"/>
        <v>336449.05270923558</v>
      </c>
      <c r="F79">
        <f t="shared" si="5"/>
        <v>389.33884469344645</v>
      </c>
    </row>
    <row r="80" spans="1:6" x14ac:dyDescent="0.3">
      <c r="A80" s="4" t="s">
        <v>77</v>
      </c>
      <c r="B80" s="5">
        <v>16.229999542000002</v>
      </c>
      <c r="D80">
        <f t="shared" si="3"/>
        <v>0</v>
      </c>
      <c r="E80">
        <f t="shared" si="4"/>
        <v>0</v>
      </c>
      <c r="F80">
        <f t="shared" si="5"/>
        <v>0</v>
      </c>
    </row>
    <row r="81" spans="1:6" x14ac:dyDescent="0.3">
      <c r="A81" s="4" t="s">
        <v>78</v>
      </c>
      <c r="B81" s="5">
        <v>16.760000228999999</v>
      </c>
      <c r="D81">
        <f t="shared" si="3"/>
        <v>0</v>
      </c>
      <c r="E81">
        <f t="shared" si="4"/>
        <v>0</v>
      </c>
      <c r="F81">
        <f t="shared" si="5"/>
        <v>0</v>
      </c>
    </row>
    <row r="82" spans="1:6" x14ac:dyDescent="0.3">
      <c r="A82" s="4" t="s">
        <v>79</v>
      </c>
      <c r="B82" s="5">
        <v>18.280000687000001</v>
      </c>
      <c r="D82">
        <f t="shared" si="3"/>
        <v>0</v>
      </c>
      <c r="E82">
        <f t="shared" si="4"/>
        <v>0</v>
      </c>
      <c r="F82">
        <f t="shared" si="5"/>
        <v>0</v>
      </c>
    </row>
    <row r="83" spans="1:6" x14ac:dyDescent="0.3">
      <c r="A83" s="4" t="s">
        <v>80</v>
      </c>
      <c r="B83" s="5">
        <v>18.959999084</v>
      </c>
      <c r="D83">
        <f t="shared" si="3"/>
        <v>0</v>
      </c>
      <c r="E83">
        <f t="shared" si="4"/>
        <v>0</v>
      </c>
      <c r="F83">
        <f t="shared" si="5"/>
        <v>0</v>
      </c>
    </row>
    <row r="84" spans="1:6" x14ac:dyDescent="0.3">
      <c r="A84" s="4" t="s">
        <v>81</v>
      </c>
      <c r="B84" s="5">
        <v>19.040000916</v>
      </c>
      <c r="D84">
        <f t="shared" si="3"/>
        <v>0</v>
      </c>
      <c r="E84">
        <f t="shared" si="4"/>
        <v>0</v>
      </c>
      <c r="F84">
        <f t="shared" si="5"/>
        <v>0</v>
      </c>
    </row>
    <row r="85" spans="1:6" x14ac:dyDescent="0.3">
      <c r="A85" s="4" t="s">
        <v>82</v>
      </c>
      <c r="B85" s="5">
        <v>19.090000152999998</v>
      </c>
      <c r="D85">
        <f t="shared" si="3"/>
        <v>0</v>
      </c>
      <c r="E85">
        <f t="shared" si="4"/>
        <v>0</v>
      </c>
      <c r="F85">
        <f t="shared" si="5"/>
        <v>0</v>
      </c>
    </row>
    <row r="86" spans="1:6" x14ac:dyDescent="0.3">
      <c r="A86" s="4" t="s">
        <v>83</v>
      </c>
      <c r="B86" s="5">
        <v>19.030000687000001</v>
      </c>
      <c r="D86">
        <f t="shared" si="3"/>
        <v>0</v>
      </c>
      <c r="E86">
        <f t="shared" si="4"/>
        <v>0</v>
      </c>
      <c r="F86">
        <f t="shared" si="5"/>
        <v>0</v>
      </c>
    </row>
    <row r="87" spans="1:6" x14ac:dyDescent="0.3">
      <c r="A87" s="4" t="s">
        <v>84</v>
      </c>
      <c r="B87" s="5">
        <v>19.059999466000001</v>
      </c>
      <c r="D87">
        <f t="shared" si="3"/>
        <v>0</v>
      </c>
      <c r="E87">
        <f t="shared" si="4"/>
        <v>0</v>
      </c>
      <c r="F87">
        <f t="shared" si="5"/>
        <v>0</v>
      </c>
    </row>
    <row r="88" spans="1:6" x14ac:dyDescent="0.3">
      <c r="A88" s="4" t="s">
        <v>85</v>
      </c>
      <c r="B88" s="5">
        <v>19.020000457999998</v>
      </c>
      <c r="D88">
        <f t="shared" si="3"/>
        <v>0</v>
      </c>
      <c r="E88">
        <f t="shared" si="4"/>
        <v>0</v>
      </c>
      <c r="F88">
        <f t="shared" si="5"/>
        <v>0</v>
      </c>
    </row>
    <row r="89" spans="1:6" x14ac:dyDescent="0.3">
      <c r="A89" s="4" t="s">
        <v>86</v>
      </c>
      <c r="B89" s="5">
        <v>19.030000687000001</v>
      </c>
      <c r="D89">
        <f t="shared" si="3"/>
        <v>0</v>
      </c>
      <c r="E89">
        <f t="shared" si="4"/>
        <v>0</v>
      </c>
      <c r="F89">
        <f t="shared" si="5"/>
        <v>0</v>
      </c>
    </row>
    <row r="90" spans="1:6" x14ac:dyDescent="0.3">
      <c r="A90" s="4" t="s">
        <v>87</v>
      </c>
      <c r="B90" s="5">
        <v>18.790000916</v>
      </c>
      <c r="D90">
        <f t="shared" si="3"/>
        <v>0</v>
      </c>
      <c r="E90">
        <f t="shared" si="4"/>
        <v>0</v>
      </c>
      <c r="F90">
        <f t="shared" si="5"/>
        <v>0</v>
      </c>
    </row>
    <row r="91" spans="1:6" x14ac:dyDescent="0.3">
      <c r="A91" s="4" t="s">
        <v>88</v>
      </c>
      <c r="B91" s="5">
        <v>18.549999237000002</v>
      </c>
      <c r="D91">
        <f t="shared" si="3"/>
        <v>194669.42234672318</v>
      </c>
      <c r="E91">
        <f t="shared" si="4"/>
        <v>389338.84469344636</v>
      </c>
      <c r="F91">
        <f t="shared" si="5"/>
        <v>461.56119741342542</v>
      </c>
    </row>
    <row r="92" spans="1:6" x14ac:dyDescent="0.3">
      <c r="A92" s="4" t="s">
        <v>89</v>
      </c>
      <c r="B92" s="5">
        <v>18.120000838999999</v>
      </c>
      <c r="D92">
        <f t="shared" si="3"/>
        <v>0</v>
      </c>
      <c r="E92">
        <f t="shared" si="4"/>
        <v>0</v>
      </c>
      <c r="F92">
        <f t="shared" si="5"/>
        <v>0</v>
      </c>
    </row>
    <row r="93" spans="1:6" x14ac:dyDescent="0.3">
      <c r="A93" s="4" t="s">
        <v>90</v>
      </c>
      <c r="B93" s="5">
        <v>17.729999542000002</v>
      </c>
      <c r="D93">
        <f t="shared" si="3"/>
        <v>0</v>
      </c>
      <c r="E93">
        <f t="shared" si="4"/>
        <v>0</v>
      </c>
      <c r="F93">
        <f t="shared" si="5"/>
        <v>0</v>
      </c>
    </row>
    <row r="94" spans="1:6" x14ac:dyDescent="0.3">
      <c r="A94" s="4" t="s">
        <v>91</v>
      </c>
      <c r="B94" s="5">
        <v>18.450000762999998</v>
      </c>
      <c r="D94">
        <f t="shared" si="3"/>
        <v>0</v>
      </c>
      <c r="E94">
        <f t="shared" si="4"/>
        <v>0</v>
      </c>
      <c r="F94">
        <f t="shared" si="5"/>
        <v>0</v>
      </c>
    </row>
    <row r="95" spans="1:6" x14ac:dyDescent="0.3">
      <c r="A95" s="4" t="s">
        <v>92</v>
      </c>
      <c r="B95" s="5">
        <v>17.86000061</v>
      </c>
      <c r="D95">
        <f t="shared" si="3"/>
        <v>0</v>
      </c>
      <c r="E95">
        <f t="shared" si="4"/>
        <v>0</v>
      </c>
      <c r="F95">
        <f t="shared" si="5"/>
        <v>0</v>
      </c>
    </row>
    <row r="96" spans="1:6" x14ac:dyDescent="0.3">
      <c r="A96" s="4" t="s">
        <v>93</v>
      </c>
      <c r="B96" s="5">
        <v>17.870000838999999</v>
      </c>
      <c r="D96">
        <f t="shared" si="3"/>
        <v>0</v>
      </c>
      <c r="E96">
        <f t="shared" si="4"/>
        <v>0</v>
      </c>
      <c r="F96">
        <f t="shared" si="5"/>
        <v>0</v>
      </c>
    </row>
    <row r="97" spans="1:6" x14ac:dyDescent="0.3">
      <c r="A97" s="4" t="s">
        <v>94</v>
      </c>
      <c r="B97" s="5">
        <v>17.899999618999999</v>
      </c>
      <c r="D97">
        <f t="shared" si="3"/>
        <v>0</v>
      </c>
      <c r="E97">
        <f t="shared" si="4"/>
        <v>0</v>
      </c>
      <c r="F97">
        <f t="shared" si="5"/>
        <v>0</v>
      </c>
    </row>
    <row r="98" spans="1:6" x14ac:dyDescent="0.3">
      <c r="A98" s="4" t="s">
        <v>95</v>
      </c>
      <c r="B98" s="5">
        <v>20.790000916</v>
      </c>
      <c r="D98">
        <f t="shared" si="3"/>
        <v>0</v>
      </c>
      <c r="E98">
        <f t="shared" si="4"/>
        <v>0</v>
      </c>
      <c r="F98">
        <f t="shared" si="5"/>
        <v>0</v>
      </c>
    </row>
    <row r="99" spans="1:6" x14ac:dyDescent="0.3">
      <c r="A99" s="4" t="s">
        <v>96</v>
      </c>
      <c r="B99" s="5">
        <v>21.75</v>
      </c>
      <c r="D99">
        <f t="shared" si="3"/>
        <v>0</v>
      </c>
      <c r="E99">
        <f t="shared" si="4"/>
        <v>0</v>
      </c>
      <c r="F99">
        <f t="shared" si="5"/>
        <v>0</v>
      </c>
    </row>
    <row r="100" spans="1:6" x14ac:dyDescent="0.3">
      <c r="A100" s="4" t="s">
        <v>97</v>
      </c>
      <c r="B100" s="5">
        <v>24.829999923999999</v>
      </c>
      <c r="D100">
        <f t="shared" si="3"/>
        <v>0</v>
      </c>
      <c r="E100">
        <f t="shared" si="4"/>
        <v>0</v>
      </c>
      <c r="F100">
        <f t="shared" si="5"/>
        <v>0</v>
      </c>
    </row>
    <row r="101" spans="1:6" x14ac:dyDescent="0.3">
      <c r="A101" s="4" t="s">
        <v>98</v>
      </c>
      <c r="B101" s="5">
        <v>25.280000687000001</v>
      </c>
      <c r="D101">
        <f t="shared" si="3"/>
        <v>0</v>
      </c>
      <c r="E101">
        <f t="shared" si="4"/>
        <v>0</v>
      </c>
      <c r="F101">
        <f t="shared" si="5"/>
        <v>0</v>
      </c>
    </row>
    <row r="102" spans="1:6" x14ac:dyDescent="0.3">
      <c r="A102" s="4" t="s">
        <v>99</v>
      </c>
      <c r="B102" s="5">
        <v>26.280000687000001</v>
      </c>
      <c r="D102">
        <f t="shared" si="3"/>
        <v>0</v>
      </c>
      <c r="E102">
        <f t="shared" si="4"/>
        <v>0</v>
      </c>
      <c r="F102">
        <f t="shared" si="5"/>
        <v>0</v>
      </c>
    </row>
    <row r="103" spans="1:6" x14ac:dyDescent="0.3">
      <c r="A103" s="4" t="s">
        <v>100</v>
      </c>
      <c r="B103" s="5">
        <v>26.229999542000002</v>
      </c>
      <c r="D103">
        <f t="shared" si="3"/>
        <v>230780.59870671263</v>
      </c>
      <c r="E103">
        <f t="shared" si="4"/>
        <v>461561.19741342525</v>
      </c>
      <c r="F103">
        <f t="shared" si="5"/>
        <v>582.62869738101665</v>
      </c>
    </row>
    <row r="104" spans="1:6" x14ac:dyDescent="0.3">
      <c r="A104" s="4" t="s">
        <v>101</v>
      </c>
      <c r="B104" s="5">
        <v>26.280000687000001</v>
      </c>
      <c r="D104">
        <f t="shared" si="3"/>
        <v>0</v>
      </c>
      <c r="E104">
        <f t="shared" si="4"/>
        <v>0</v>
      </c>
      <c r="F104">
        <f t="shared" si="5"/>
        <v>0</v>
      </c>
    </row>
    <row r="105" spans="1:6" x14ac:dyDescent="0.3">
      <c r="A105" s="4" t="s">
        <v>102</v>
      </c>
      <c r="B105" s="5">
        <v>26.180000305</v>
      </c>
      <c r="D105">
        <f t="shared" si="3"/>
        <v>0</v>
      </c>
      <c r="E105">
        <f t="shared" si="4"/>
        <v>0</v>
      </c>
      <c r="F105">
        <f t="shared" si="5"/>
        <v>0</v>
      </c>
    </row>
    <row r="106" spans="1:6" x14ac:dyDescent="0.3">
      <c r="A106" s="4" t="s">
        <v>103</v>
      </c>
      <c r="B106" s="5">
        <v>25.680000305</v>
      </c>
      <c r="D106">
        <f t="shared" si="3"/>
        <v>0</v>
      </c>
      <c r="E106">
        <f t="shared" si="4"/>
        <v>0</v>
      </c>
      <c r="F106">
        <f t="shared" si="5"/>
        <v>0</v>
      </c>
    </row>
    <row r="107" spans="1:6" x14ac:dyDescent="0.3">
      <c r="A107" s="4" t="s">
        <v>104</v>
      </c>
      <c r="B107" s="5">
        <v>24.209999084</v>
      </c>
      <c r="D107">
        <f t="shared" si="3"/>
        <v>0</v>
      </c>
      <c r="E107">
        <f t="shared" si="4"/>
        <v>0</v>
      </c>
      <c r="F107">
        <f t="shared" si="5"/>
        <v>0</v>
      </c>
    </row>
    <row r="108" spans="1:6" x14ac:dyDescent="0.3">
      <c r="A108" s="4" t="s">
        <v>105</v>
      </c>
      <c r="B108" s="5">
        <v>21.690000533999999</v>
      </c>
      <c r="D108">
        <f t="shared" si="3"/>
        <v>0</v>
      </c>
      <c r="E108">
        <f t="shared" si="4"/>
        <v>0</v>
      </c>
      <c r="F108">
        <f t="shared" si="5"/>
        <v>0</v>
      </c>
    </row>
    <row r="109" spans="1:6" x14ac:dyDescent="0.3">
      <c r="A109" s="4" t="s">
        <v>106</v>
      </c>
      <c r="B109" s="5">
        <v>19.71</v>
      </c>
      <c r="D109">
        <f t="shared" si="3"/>
        <v>0</v>
      </c>
      <c r="E109">
        <f t="shared" si="4"/>
        <v>0</v>
      </c>
      <c r="F109">
        <f t="shared" si="5"/>
        <v>0</v>
      </c>
    </row>
    <row r="110" spans="1:6" x14ac:dyDescent="0.3">
      <c r="A110" s="4" t="s">
        <v>107</v>
      </c>
      <c r="B110" s="5">
        <v>18.75</v>
      </c>
      <c r="D110">
        <f t="shared" si="3"/>
        <v>0</v>
      </c>
      <c r="E110">
        <f t="shared" si="4"/>
        <v>0</v>
      </c>
      <c r="F110">
        <f t="shared" si="5"/>
        <v>0</v>
      </c>
    </row>
    <row r="111" spans="1:6" x14ac:dyDescent="0.3">
      <c r="A111" s="4" t="s">
        <v>108</v>
      </c>
      <c r="B111" s="5">
        <v>17.25</v>
      </c>
      <c r="D111">
        <f t="shared" si="3"/>
        <v>0</v>
      </c>
      <c r="E111">
        <f t="shared" si="4"/>
        <v>0</v>
      </c>
      <c r="F111">
        <f t="shared" si="5"/>
        <v>0</v>
      </c>
    </row>
    <row r="112" spans="1:6" x14ac:dyDescent="0.3">
      <c r="A112" s="4" t="s">
        <v>109</v>
      </c>
      <c r="B112" s="5">
        <v>16.27</v>
      </c>
      <c r="D112">
        <f t="shared" si="3"/>
        <v>0</v>
      </c>
      <c r="E112">
        <f t="shared" si="4"/>
        <v>0</v>
      </c>
      <c r="F112">
        <f t="shared" si="5"/>
        <v>0</v>
      </c>
    </row>
    <row r="113" spans="1:6" x14ac:dyDescent="0.3">
      <c r="A113" s="4" t="s">
        <v>110</v>
      </c>
      <c r="B113" s="5">
        <v>16.22</v>
      </c>
      <c r="D113">
        <f t="shared" si="3"/>
        <v>0</v>
      </c>
      <c r="E113">
        <f t="shared" si="4"/>
        <v>0</v>
      </c>
      <c r="F113">
        <f t="shared" si="5"/>
        <v>0</v>
      </c>
    </row>
    <row r="114" spans="1:6" x14ac:dyDescent="0.3">
      <c r="A114" s="4" t="s">
        <v>111</v>
      </c>
      <c r="B114" s="5">
        <v>16.239999999999998</v>
      </c>
      <c r="D114">
        <f t="shared" si="3"/>
        <v>0</v>
      </c>
      <c r="E114">
        <f t="shared" si="4"/>
        <v>0</v>
      </c>
      <c r="F114">
        <f t="shared" si="5"/>
        <v>0</v>
      </c>
    </row>
    <row r="115" spans="1:6" x14ac:dyDescent="0.3">
      <c r="A115" s="4" t="s">
        <v>112</v>
      </c>
      <c r="B115" s="5">
        <v>16.02</v>
      </c>
      <c r="D115">
        <f t="shared" si="3"/>
        <v>291314.34869050822</v>
      </c>
      <c r="E115">
        <f t="shared" si="4"/>
        <v>582628.69738101645</v>
      </c>
      <c r="F115">
        <f t="shared" si="5"/>
        <v>675.96581470145543</v>
      </c>
    </row>
    <row r="116" spans="1:6" x14ac:dyDescent="0.3">
      <c r="A116" s="4" t="s">
        <v>113</v>
      </c>
      <c r="B116" s="5">
        <v>15.74</v>
      </c>
      <c r="D116">
        <f t="shared" si="3"/>
        <v>0</v>
      </c>
      <c r="E116">
        <f t="shared" si="4"/>
        <v>0</v>
      </c>
      <c r="F116">
        <f t="shared" si="5"/>
        <v>0</v>
      </c>
    </row>
    <row r="117" spans="1:6" x14ac:dyDescent="0.3">
      <c r="A117" s="4" t="s">
        <v>114</v>
      </c>
      <c r="B117" s="5">
        <v>15.81</v>
      </c>
      <c r="D117">
        <f t="shared" si="3"/>
        <v>0</v>
      </c>
      <c r="E117">
        <f t="shared" si="4"/>
        <v>0</v>
      </c>
      <c r="F117">
        <f t="shared" si="5"/>
        <v>0</v>
      </c>
    </row>
    <row r="118" spans="1:6" x14ac:dyDescent="0.3">
      <c r="A118" s="4" t="s">
        <v>115</v>
      </c>
      <c r="B118" s="5">
        <v>15.72</v>
      </c>
      <c r="D118">
        <f t="shared" si="3"/>
        <v>0</v>
      </c>
      <c r="E118">
        <f t="shared" si="4"/>
        <v>0</v>
      </c>
      <c r="F118">
        <f t="shared" si="5"/>
        <v>0</v>
      </c>
    </row>
    <row r="119" spans="1:6" x14ac:dyDescent="0.3">
      <c r="A119" s="4" t="s">
        <v>116</v>
      </c>
      <c r="B119" s="5">
        <v>15.74</v>
      </c>
      <c r="D119">
        <f t="shared" si="3"/>
        <v>0</v>
      </c>
      <c r="E119">
        <f t="shared" si="4"/>
        <v>0</v>
      </c>
      <c r="F119">
        <f t="shared" si="5"/>
        <v>0</v>
      </c>
    </row>
    <row r="120" spans="1:6" x14ac:dyDescent="0.3">
      <c r="A120" s="4" t="s">
        <v>117</v>
      </c>
      <c r="B120" s="5">
        <v>15.82</v>
      </c>
      <c r="D120">
        <f t="shared" si="3"/>
        <v>0</v>
      </c>
      <c r="E120">
        <f t="shared" si="4"/>
        <v>0</v>
      </c>
      <c r="F120">
        <f t="shared" si="5"/>
        <v>0</v>
      </c>
    </row>
    <row r="121" spans="1:6" x14ac:dyDescent="0.3">
      <c r="A121" s="4" t="s">
        <v>118</v>
      </c>
      <c r="B121" s="5">
        <v>16.170000000000002</v>
      </c>
      <c r="D121">
        <f t="shared" si="3"/>
        <v>0</v>
      </c>
      <c r="E121">
        <f t="shared" si="4"/>
        <v>0</v>
      </c>
      <c r="F121">
        <f t="shared" si="5"/>
        <v>0</v>
      </c>
    </row>
    <row r="122" spans="1:6" x14ac:dyDescent="0.3">
      <c r="A122" s="4" t="s">
        <v>119</v>
      </c>
      <c r="B122" s="5">
        <v>16.66</v>
      </c>
      <c r="D122">
        <f t="shared" si="3"/>
        <v>0</v>
      </c>
      <c r="E122">
        <f t="shared" si="4"/>
        <v>0</v>
      </c>
      <c r="F122">
        <f t="shared" si="5"/>
        <v>0</v>
      </c>
    </row>
    <row r="123" spans="1:6" x14ac:dyDescent="0.3">
      <c r="A123" s="4" t="s">
        <v>120</v>
      </c>
      <c r="B123" s="5">
        <v>17.2</v>
      </c>
      <c r="D123">
        <f t="shared" si="3"/>
        <v>0</v>
      </c>
      <c r="E123">
        <f t="shared" si="4"/>
        <v>0</v>
      </c>
      <c r="F123">
        <f t="shared" si="5"/>
        <v>0</v>
      </c>
    </row>
    <row r="124" spans="1:6" x14ac:dyDescent="0.3">
      <c r="A124" s="4" t="s">
        <v>121</v>
      </c>
      <c r="B124" s="5">
        <v>17.760000000000002</v>
      </c>
      <c r="D124">
        <f t="shared" si="3"/>
        <v>0</v>
      </c>
      <c r="E124">
        <f t="shared" si="4"/>
        <v>0</v>
      </c>
      <c r="F124">
        <f t="shared" si="5"/>
        <v>0</v>
      </c>
    </row>
    <row r="125" spans="1:6" x14ac:dyDescent="0.3">
      <c r="A125" s="4" t="s">
        <v>122</v>
      </c>
      <c r="B125" s="5">
        <v>18.25</v>
      </c>
      <c r="D125">
        <f t="shared" si="3"/>
        <v>0</v>
      </c>
      <c r="E125">
        <f t="shared" si="4"/>
        <v>0</v>
      </c>
      <c r="F125">
        <f t="shared" si="5"/>
        <v>0</v>
      </c>
    </row>
    <row r="126" spans="1:6" x14ac:dyDescent="0.3">
      <c r="A126" s="4" t="s">
        <v>123</v>
      </c>
      <c r="B126" s="5">
        <v>18.68</v>
      </c>
      <c r="D126">
        <f t="shared" si="3"/>
        <v>0</v>
      </c>
      <c r="E126">
        <f t="shared" si="4"/>
        <v>0</v>
      </c>
      <c r="F126">
        <f t="shared" si="5"/>
        <v>0</v>
      </c>
    </row>
    <row r="127" spans="1:6" x14ac:dyDescent="0.3">
      <c r="A127" s="4" t="s">
        <v>124</v>
      </c>
      <c r="B127" s="5">
        <v>19.21</v>
      </c>
      <c r="D127">
        <f t="shared" si="3"/>
        <v>337982.90735072759</v>
      </c>
      <c r="E127">
        <f t="shared" si="4"/>
        <v>675965.81470145518</v>
      </c>
      <c r="F127">
        <f t="shared" si="5"/>
        <v>805.81884770560509</v>
      </c>
    </row>
    <row r="128" spans="1:6" x14ac:dyDescent="0.3">
      <c r="A128" s="4" t="s">
        <v>125</v>
      </c>
      <c r="B128" s="5">
        <v>19.46</v>
      </c>
      <c r="D128">
        <f t="shared" si="3"/>
        <v>0</v>
      </c>
      <c r="E128">
        <f t="shared" si="4"/>
        <v>0</v>
      </c>
      <c r="F128">
        <f t="shared" si="5"/>
        <v>0</v>
      </c>
    </row>
    <row r="129" spans="1:6" x14ac:dyDescent="0.3">
      <c r="A129" s="4" t="s">
        <v>126</v>
      </c>
      <c r="B129" s="5">
        <v>19.77</v>
      </c>
      <c r="D129">
        <f t="shared" si="3"/>
        <v>0</v>
      </c>
      <c r="E129">
        <f t="shared" si="4"/>
        <v>0</v>
      </c>
      <c r="F129">
        <f t="shared" si="5"/>
        <v>0</v>
      </c>
    </row>
    <row r="130" spans="1:6" x14ac:dyDescent="0.3">
      <c r="A130" s="4" t="s">
        <v>127</v>
      </c>
      <c r="B130" s="5">
        <v>19.739999999999998</v>
      </c>
      <c r="D130">
        <f t="shared" si="3"/>
        <v>0</v>
      </c>
      <c r="E130">
        <f t="shared" si="4"/>
        <v>0</v>
      </c>
      <c r="F130">
        <f t="shared" si="5"/>
        <v>0</v>
      </c>
    </row>
    <row r="131" spans="1:6" x14ac:dyDescent="0.3">
      <c r="A131" s="4" t="s">
        <v>128</v>
      </c>
      <c r="B131" s="5">
        <v>19.68</v>
      </c>
      <c r="D131">
        <f t="shared" si="3"/>
        <v>0</v>
      </c>
      <c r="E131">
        <f t="shared" si="4"/>
        <v>0</v>
      </c>
      <c r="F131">
        <f t="shared" si="5"/>
        <v>0</v>
      </c>
    </row>
    <row r="132" spans="1:6" x14ac:dyDescent="0.3">
      <c r="A132" s="4" t="s">
        <v>129</v>
      </c>
      <c r="B132" s="5">
        <v>19.71</v>
      </c>
      <c r="D132">
        <f t="shared" si="3"/>
        <v>0</v>
      </c>
      <c r="E132">
        <f t="shared" si="4"/>
        <v>0</v>
      </c>
      <c r="F132">
        <f t="shared" si="5"/>
        <v>0</v>
      </c>
    </row>
    <row r="133" spans="1:6" x14ac:dyDescent="0.3">
      <c r="A133" s="4" t="s">
        <v>130</v>
      </c>
      <c r="B133" s="5">
        <v>19.510000000000002</v>
      </c>
      <c r="D133">
        <f t="shared" si="3"/>
        <v>0</v>
      </c>
      <c r="E133">
        <f t="shared" si="4"/>
        <v>0</v>
      </c>
      <c r="F133">
        <f t="shared" si="5"/>
        <v>0</v>
      </c>
    </row>
    <row r="134" spans="1:6" x14ac:dyDescent="0.3">
      <c r="A134" s="4" t="s">
        <v>131</v>
      </c>
      <c r="B134" s="5">
        <v>18.920000000000002</v>
      </c>
      <c r="D134">
        <f t="shared" si="3"/>
        <v>0</v>
      </c>
      <c r="E134">
        <f t="shared" si="4"/>
        <v>0</v>
      </c>
      <c r="F134">
        <f t="shared" si="5"/>
        <v>0</v>
      </c>
    </row>
    <row r="135" spans="1:6" x14ac:dyDescent="0.3">
      <c r="A135" s="4" t="s">
        <v>132</v>
      </c>
      <c r="B135" s="5">
        <v>18.43</v>
      </c>
      <c r="D135">
        <f t="shared" ref="D135:D198" si="6">D147/((100+B135)/100)</f>
        <v>0</v>
      </c>
      <c r="E135">
        <f t="shared" ref="E135:E198" si="7">E147/((100+B135)/100)</f>
        <v>0</v>
      </c>
      <c r="F135">
        <f t="shared" ref="F135:F198" si="8">F147/((100+B147)/100)</f>
        <v>0</v>
      </c>
    </row>
    <row r="136" spans="1:6" x14ac:dyDescent="0.3">
      <c r="A136" s="4" t="s">
        <v>133</v>
      </c>
      <c r="B136" s="5">
        <v>17.989999999999998</v>
      </c>
      <c r="D136">
        <f t="shared" si="6"/>
        <v>0</v>
      </c>
      <c r="E136">
        <f t="shared" si="7"/>
        <v>0</v>
      </c>
      <c r="F136">
        <f t="shared" si="8"/>
        <v>0</v>
      </c>
    </row>
    <row r="137" spans="1:6" x14ac:dyDescent="0.3">
      <c r="A137" s="4" t="s">
        <v>134</v>
      </c>
      <c r="B137" s="5">
        <v>17.100000000000001</v>
      </c>
      <c r="D137">
        <f t="shared" si="6"/>
        <v>0</v>
      </c>
      <c r="E137">
        <f t="shared" si="7"/>
        <v>0</v>
      </c>
      <c r="F137">
        <f t="shared" si="8"/>
        <v>0</v>
      </c>
    </row>
    <row r="138" spans="1:6" x14ac:dyDescent="0.3">
      <c r="A138" s="4" t="s">
        <v>135</v>
      </c>
      <c r="B138" s="5">
        <v>17.29</v>
      </c>
      <c r="D138">
        <f t="shared" si="6"/>
        <v>0</v>
      </c>
      <c r="E138">
        <f t="shared" si="7"/>
        <v>0</v>
      </c>
      <c r="F138">
        <f t="shared" si="8"/>
        <v>0</v>
      </c>
    </row>
    <row r="139" spans="1:6" x14ac:dyDescent="0.3">
      <c r="A139" s="4" t="s">
        <v>136</v>
      </c>
      <c r="B139" s="5">
        <v>16.510000000000002</v>
      </c>
      <c r="D139">
        <f t="shared" si="6"/>
        <v>402909.42385280243</v>
      </c>
      <c r="E139">
        <f t="shared" si="7"/>
        <v>805818.84770560486</v>
      </c>
      <c r="F139">
        <f t="shared" si="8"/>
        <v>938.85953946180052</v>
      </c>
    </row>
    <row r="140" spans="1:6" x14ac:dyDescent="0.3">
      <c r="A140" s="4" t="s">
        <v>137</v>
      </c>
      <c r="B140" s="5">
        <v>15.7</v>
      </c>
      <c r="D140">
        <f t="shared" si="6"/>
        <v>0</v>
      </c>
      <c r="E140">
        <f t="shared" si="7"/>
        <v>0</v>
      </c>
      <c r="F140">
        <f t="shared" si="8"/>
        <v>0</v>
      </c>
    </row>
    <row r="141" spans="1:6" x14ac:dyDescent="0.3">
      <c r="A141" s="4" t="s">
        <v>138</v>
      </c>
      <c r="B141" s="5">
        <v>15.65</v>
      </c>
      <c r="D141">
        <f t="shared" si="6"/>
        <v>0</v>
      </c>
      <c r="E141">
        <f t="shared" si="7"/>
        <v>0</v>
      </c>
      <c r="F141">
        <f t="shared" si="8"/>
        <v>0</v>
      </c>
    </row>
    <row r="142" spans="1:6" x14ac:dyDescent="0.3">
      <c r="A142" s="4" t="s">
        <v>139</v>
      </c>
      <c r="B142" s="5">
        <v>15.18</v>
      </c>
      <c r="D142">
        <f t="shared" si="6"/>
        <v>0</v>
      </c>
      <c r="E142">
        <f t="shared" si="7"/>
        <v>0</v>
      </c>
      <c r="F142">
        <f t="shared" si="8"/>
        <v>0</v>
      </c>
    </row>
    <row r="143" spans="1:6" x14ac:dyDescent="0.3">
      <c r="A143" s="4" t="s">
        <v>140</v>
      </c>
      <c r="B143" s="5">
        <v>14.63</v>
      </c>
      <c r="D143">
        <f t="shared" si="6"/>
        <v>0</v>
      </c>
      <c r="E143">
        <f t="shared" si="7"/>
        <v>0</v>
      </c>
      <c r="F143">
        <f t="shared" si="8"/>
        <v>0</v>
      </c>
    </row>
    <row r="144" spans="1:6" x14ac:dyDescent="0.3">
      <c r="A144" s="4" t="s">
        <v>141</v>
      </c>
      <c r="B144" s="5">
        <v>14.11</v>
      </c>
      <c r="D144">
        <f t="shared" si="6"/>
        <v>0</v>
      </c>
      <c r="E144">
        <f t="shared" si="7"/>
        <v>0</v>
      </c>
      <c r="F144">
        <f t="shared" si="8"/>
        <v>0</v>
      </c>
    </row>
    <row r="145" spans="1:6" x14ac:dyDescent="0.3">
      <c r="A145" s="4" t="s">
        <v>142</v>
      </c>
      <c r="B145" s="5">
        <v>14.18</v>
      </c>
      <c r="D145">
        <f t="shared" si="6"/>
        <v>0</v>
      </c>
      <c r="E145">
        <f t="shared" si="7"/>
        <v>0</v>
      </c>
      <c r="F145">
        <f t="shared" si="8"/>
        <v>0</v>
      </c>
    </row>
    <row r="146" spans="1:6" x14ac:dyDescent="0.3">
      <c r="A146" s="4" t="s">
        <v>143</v>
      </c>
      <c r="B146" s="5">
        <v>13.65</v>
      </c>
      <c r="D146">
        <f t="shared" si="6"/>
        <v>0</v>
      </c>
      <c r="E146">
        <f t="shared" si="7"/>
        <v>0</v>
      </c>
      <c r="F146">
        <f t="shared" si="8"/>
        <v>0</v>
      </c>
    </row>
    <row r="147" spans="1:6" x14ac:dyDescent="0.3">
      <c r="A147" s="4" t="s">
        <v>144</v>
      </c>
      <c r="B147" s="5">
        <v>13.13</v>
      </c>
      <c r="D147">
        <f t="shared" si="6"/>
        <v>0</v>
      </c>
      <c r="E147">
        <f t="shared" si="7"/>
        <v>0</v>
      </c>
      <c r="F147">
        <f t="shared" si="8"/>
        <v>0</v>
      </c>
    </row>
    <row r="148" spans="1:6" x14ac:dyDescent="0.3">
      <c r="A148" s="4" t="s">
        <v>145</v>
      </c>
      <c r="B148" s="5">
        <v>13.17</v>
      </c>
      <c r="D148">
        <f t="shared" si="6"/>
        <v>0</v>
      </c>
      <c r="E148">
        <f t="shared" si="7"/>
        <v>0</v>
      </c>
      <c r="F148">
        <f t="shared" si="8"/>
        <v>0</v>
      </c>
    </row>
    <row r="149" spans="1:6" x14ac:dyDescent="0.3">
      <c r="A149" s="4" t="s">
        <v>146</v>
      </c>
      <c r="B149" s="5">
        <v>12.91</v>
      </c>
      <c r="D149">
        <f t="shared" si="6"/>
        <v>0</v>
      </c>
      <c r="E149">
        <f t="shared" si="7"/>
        <v>0</v>
      </c>
      <c r="F149">
        <f t="shared" si="8"/>
        <v>0</v>
      </c>
    </row>
    <row r="150" spans="1:6" x14ac:dyDescent="0.3">
      <c r="A150" s="4" t="s">
        <v>147</v>
      </c>
      <c r="B150" s="5">
        <v>12.9</v>
      </c>
      <c r="D150">
        <f t="shared" si="6"/>
        <v>0</v>
      </c>
      <c r="E150">
        <f t="shared" si="7"/>
        <v>0</v>
      </c>
      <c r="F150">
        <f t="shared" si="8"/>
        <v>0</v>
      </c>
    </row>
    <row r="151" spans="1:6" x14ac:dyDescent="0.3">
      <c r="A151" s="4" t="s">
        <v>148</v>
      </c>
      <c r="B151" s="5">
        <v>12.66</v>
      </c>
      <c r="D151">
        <f t="shared" si="6"/>
        <v>469429.76973090012</v>
      </c>
      <c r="E151">
        <f t="shared" si="7"/>
        <v>938859.53946180025</v>
      </c>
      <c r="F151">
        <f t="shared" si="8"/>
        <v>1057.7191571576645</v>
      </c>
    </row>
    <row r="152" spans="1:6" x14ac:dyDescent="0.3">
      <c r="A152" s="4" t="s">
        <v>149</v>
      </c>
      <c r="B152" s="5">
        <v>12.33</v>
      </c>
      <c r="D152">
        <f t="shared" si="6"/>
        <v>0</v>
      </c>
      <c r="E152">
        <f t="shared" si="7"/>
        <v>0</v>
      </c>
      <c r="F152">
        <f t="shared" si="8"/>
        <v>0</v>
      </c>
    </row>
    <row r="153" spans="1:6" x14ac:dyDescent="0.3">
      <c r="A153" s="4" t="s">
        <v>150</v>
      </c>
      <c r="B153" s="5">
        <v>12.39</v>
      </c>
      <c r="D153">
        <f t="shared" si="6"/>
        <v>0</v>
      </c>
      <c r="E153">
        <f t="shared" si="7"/>
        <v>0</v>
      </c>
      <c r="F153">
        <f t="shared" si="8"/>
        <v>0</v>
      </c>
    </row>
    <row r="154" spans="1:6" x14ac:dyDescent="0.3">
      <c r="A154" s="4" t="s">
        <v>151</v>
      </c>
      <c r="B154" s="5">
        <v>11.89</v>
      </c>
      <c r="D154">
        <f t="shared" si="6"/>
        <v>0</v>
      </c>
      <c r="E154">
        <f t="shared" si="7"/>
        <v>0</v>
      </c>
      <c r="F154">
        <f t="shared" si="8"/>
        <v>0</v>
      </c>
    </row>
    <row r="155" spans="1:6" x14ac:dyDescent="0.3">
      <c r="A155" s="4" t="s">
        <v>152</v>
      </c>
      <c r="B155" s="5">
        <v>11.37</v>
      </c>
      <c r="D155">
        <f t="shared" si="6"/>
        <v>0</v>
      </c>
      <c r="E155">
        <f t="shared" si="7"/>
        <v>0</v>
      </c>
      <c r="F155">
        <f t="shared" si="8"/>
        <v>0</v>
      </c>
    </row>
    <row r="156" spans="1:6" x14ac:dyDescent="0.3">
      <c r="A156" s="4" t="s">
        <v>153</v>
      </c>
      <c r="B156" s="5">
        <v>11.42</v>
      </c>
      <c r="D156">
        <f t="shared" si="6"/>
        <v>0</v>
      </c>
      <c r="E156">
        <f t="shared" si="7"/>
        <v>0</v>
      </c>
      <c r="F156">
        <f t="shared" si="8"/>
        <v>0</v>
      </c>
    </row>
    <row r="157" spans="1:6" x14ac:dyDescent="0.3">
      <c r="A157" s="4" t="s">
        <v>154</v>
      </c>
      <c r="B157" s="5">
        <v>11.12</v>
      </c>
      <c r="D157">
        <f t="shared" si="6"/>
        <v>0</v>
      </c>
      <c r="E157">
        <f t="shared" si="7"/>
        <v>0</v>
      </c>
      <c r="F157">
        <f t="shared" si="8"/>
        <v>0</v>
      </c>
    </row>
    <row r="158" spans="1:6" x14ac:dyDescent="0.3">
      <c r="A158" s="4" t="s">
        <v>155</v>
      </c>
      <c r="B158" s="5">
        <v>11.09</v>
      </c>
      <c r="D158">
        <f t="shared" si="6"/>
        <v>0</v>
      </c>
      <c r="E158">
        <f t="shared" si="7"/>
        <v>0</v>
      </c>
      <c r="F158">
        <f t="shared" si="8"/>
        <v>0</v>
      </c>
    </row>
    <row r="159" spans="1:6" x14ac:dyDescent="0.3">
      <c r="A159" s="4" t="s">
        <v>156</v>
      </c>
      <c r="B159" s="5">
        <v>11.12</v>
      </c>
      <c r="D159">
        <f t="shared" si="6"/>
        <v>0</v>
      </c>
      <c r="E159">
        <f t="shared" si="7"/>
        <v>0</v>
      </c>
      <c r="F159">
        <f t="shared" si="8"/>
        <v>0</v>
      </c>
    </row>
    <row r="160" spans="1:6" x14ac:dyDescent="0.3">
      <c r="A160" s="4" t="s">
        <v>157</v>
      </c>
      <c r="B160" s="5">
        <v>11.12</v>
      </c>
      <c r="D160">
        <f t="shared" si="6"/>
        <v>0</v>
      </c>
      <c r="E160">
        <f t="shared" si="7"/>
        <v>0</v>
      </c>
      <c r="F160">
        <f t="shared" si="8"/>
        <v>0</v>
      </c>
    </row>
    <row r="161" spans="1:6" x14ac:dyDescent="0.3">
      <c r="A161" s="4" t="s">
        <v>158</v>
      </c>
      <c r="B161" s="5">
        <v>11.1</v>
      </c>
      <c r="D161">
        <f t="shared" si="6"/>
        <v>0</v>
      </c>
      <c r="E161">
        <f t="shared" si="7"/>
        <v>0</v>
      </c>
      <c r="F161">
        <f t="shared" si="8"/>
        <v>0</v>
      </c>
    </row>
    <row r="162" spans="1:6" x14ac:dyDescent="0.3">
      <c r="A162" s="4" t="s">
        <v>159</v>
      </c>
      <c r="B162" s="5">
        <v>11.08</v>
      </c>
      <c r="D162">
        <f t="shared" si="6"/>
        <v>0</v>
      </c>
      <c r="E162">
        <f t="shared" si="7"/>
        <v>0</v>
      </c>
      <c r="F162">
        <f t="shared" si="8"/>
        <v>0</v>
      </c>
    </row>
    <row r="163" spans="1:6" x14ac:dyDescent="0.3">
      <c r="A163" s="4" t="s">
        <v>160</v>
      </c>
      <c r="B163" s="5">
        <v>11.15</v>
      </c>
      <c r="D163">
        <f t="shared" si="6"/>
        <v>528859.57857883209</v>
      </c>
      <c r="E163">
        <f t="shared" si="7"/>
        <v>1057719.1571576642</v>
      </c>
      <c r="F163">
        <f t="shared" si="8"/>
        <v>1175.6548431807444</v>
      </c>
    </row>
    <row r="164" spans="1:6" x14ac:dyDescent="0.3">
      <c r="A164" s="4" t="s">
        <v>161</v>
      </c>
      <c r="B164" s="5">
        <v>11.57</v>
      </c>
      <c r="D164">
        <f t="shared" si="6"/>
        <v>0</v>
      </c>
      <c r="E164">
        <f t="shared" si="7"/>
        <v>0</v>
      </c>
      <c r="F164">
        <f t="shared" si="8"/>
        <v>0</v>
      </c>
    </row>
    <row r="165" spans="1:6" x14ac:dyDescent="0.3">
      <c r="A165" s="4" t="s">
        <v>162</v>
      </c>
      <c r="B165" s="5">
        <v>11.55</v>
      </c>
      <c r="D165">
        <f t="shared" si="6"/>
        <v>0</v>
      </c>
      <c r="E165">
        <f t="shared" si="7"/>
        <v>0</v>
      </c>
      <c r="F165">
        <f t="shared" si="8"/>
        <v>0</v>
      </c>
    </row>
    <row r="166" spans="1:6" x14ac:dyDescent="0.3">
      <c r="A166" s="4" t="s">
        <v>163</v>
      </c>
      <c r="B166" s="5">
        <v>12.09</v>
      </c>
      <c r="D166">
        <f t="shared" si="6"/>
        <v>0</v>
      </c>
      <c r="E166">
        <f t="shared" si="7"/>
        <v>0</v>
      </c>
      <c r="F166">
        <f t="shared" si="8"/>
        <v>0</v>
      </c>
    </row>
    <row r="167" spans="1:6" x14ac:dyDescent="0.3">
      <c r="A167" s="4" t="s">
        <v>164</v>
      </c>
      <c r="B167" s="5">
        <v>12.85</v>
      </c>
      <c r="D167">
        <f t="shared" si="6"/>
        <v>0</v>
      </c>
      <c r="E167">
        <f t="shared" si="7"/>
        <v>0</v>
      </c>
      <c r="F167">
        <f t="shared" si="8"/>
        <v>0</v>
      </c>
    </row>
    <row r="168" spans="1:6" x14ac:dyDescent="0.3">
      <c r="A168" s="4" t="s">
        <v>165</v>
      </c>
      <c r="B168" s="5">
        <v>12.82</v>
      </c>
      <c r="D168">
        <f t="shared" si="6"/>
        <v>0</v>
      </c>
      <c r="E168">
        <f t="shared" si="7"/>
        <v>0</v>
      </c>
      <c r="F168">
        <f t="shared" si="8"/>
        <v>0</v>
      </c>
    </row>
    <row r="169" spans="1:6" x14ac:dyDescent="0.3">
      <c r="A169" s="4" t="s">
        <v>166</v>
      </c>
      <c r="B169" s="5">
        <v>13.59</v>
      </c>
      <c r="D169">
        <f t="shared" si="6"/>
        <v>0</v>
      </c>
      <c r="E169">
        <f t="shared" si="7"/>
        <v>0</v>
      </c>
      <c r="F169">
        <f t="shared" si="8"/>
        <v>0</v>
      </c>
    </row>
    <row r="170" spans="1:6" x14ac:dyDescent="0.3">
      <c r="A170" s="4" t="s">
        <v>167</v>
      </c>
      <c r="B170" s="5">
        <v>13.59</v>
      </c>
      <c r="D170">
        <f t="shared" si="6"/>
        <v>0</v>
      </c>
      <c r="E170">
        <f t="shared" si="7"/>
        <v>0</v>
      </c>
      <c r="F170">
        <f t="shared" si="8"/>
        <v>0</v>
      </c>
    </row>
    <row r="171" spans="1:6" x14ac:dyDescent="0.3">
      <c r="A171" s="4" t="s">
        <v>168</v>
      </c>
      <c r="B171" s="5">
        <v>13.36</v>
      </c>
      <c r="D171">
        <f t="shared" si="6"/>
        <v>0</v>
      </c>
      <c r="E171">
        <f t="shared" si="7"/>
        <v>0</v>
      </c>
      <c r="F171">
        <f t="shared" si="8"/>
        <v>0</v>
      </c>
    </row>
    <row r="172" spans="1:6" x14ac:dyDescent="0.3">
      <c r="A172" s="4" t="s">
        <v>169</v>
      </c>
      <c r="B172" s="5">
        <v>13.62</v>
      </c>
      <c r="D172">
        <f t="shared" si="6"/>
        <v>0</v>
      </c>
      <c r="E172">
        <f t="shared" si="7"/>
        <v>0</v>
      </c>
      <c r="F172">
        <f t="shared" si="8"/>
        <v>0</v>
      </c>
    </row>
    <row r="173" spans="1:6" x14ac:dyDescent="0.3">
      <c r="A173" s="4" t="s">
        <v>170</v>
      </c>
      <c r="B173" s="5">
        <v>12.61</v>
      </c>
      <c r="D173">
        <f t="shared" si="6"/>
        <v>0</v>
      </c>
      <c r="E173">
        <f t="shared" si="7"/>
        <v>0</v>
      </c>
      <c r="F173">
        <f t="shared" si="8"/>
        <v>0</v>
      </c>
    </row>
    <row r="174" spans="1:6" x14ac:dyDescent="0.3">
      <c r="A174" s="4" t="s">
        <v>171</v>
      </c>
      <c r="B174" s="5">
        <v>12.6</v>
      </c>
      <c r="D174">
        <f t="shared" si="6"/>
        <v>0</v>
      </c>
      <c r="E174">
        <f t="shared" si="7"/>
        <v>0</v>
      </c>
      <c r="F174">
        <f t="shared" si="8"/>
        <v>0</v>
      </c>
    </row>
    <row r="175" spans="1:6" x14ac:dyDescent="0.3">
      <c r="A175" s="4" t="s">
        <v>172</v>
      </c>
      <c r="B175" s="5">
        <v>11.08</v>
      </c>
      <c r="D175">
        <f t="shared" si="6"/>
        <v>587827.42159037199</v>
      </c>
      <c r="E175">
        <f t="shared" si="7"/>
        <v>1175654.843180744</v>
      </c>
      <c r="F175">
        <f t="shared" si="8"/>
        <v>1305.9173998051708</v>
      </c>
    </row>
    <row r="176" spans="1:6" x14ac:dyDescent="0.3">
      <c r="A176" s="4" t="s">
        <v>173</v>
      </c>
      <c r="B176" s="5">
        <v>10.119999999999999</v>
      </c>
      <c r="D176">
        <f t="shared" si="6"/>
        <v>0</v>
      </c>
      <c r="E176">
        <f t="shared" si="7"/>
        <v>0</v>
      </c>
      <c r="F176">
        <f t="shared" si="8"/>
        <v>0</v>
      </c>
    </row>
    <row r="177" spans="1:6" x14ac:dyDescent="0.3">
      <c r="A177" s="4" t="s">
        <v>174</v>
      </c>
      <c r="B177" s="5">
        <v>10.01</v>
      </c>
      <c r="D177">
        <f t="shared" si="6"/>
        <v>0</v>
      </c>
      <c r="E177">
        <f t="shared" si="7"/>
        <v>0</v>
      </c>
      <c r="F177">
        <f t="shared" si="8"/>
        <v>0</v>
      </c>
    </row>
    <row r="178" spans="1:6" x14ac:dyDescent="0.3">
      <c r="A178" s="4" t="s">
        <v>175</v>
      </c>
      <c r="B178" s="5">
        <v>8.9600000000000009</v>
      </c>
      <c r="D178">
        <f t="shared" si="6"/>
        <v>0</v>
      </c>
      <c r="E178">
        <f t="shared" si="7"/>
        <v>0</v>
      </c>
      <c r="F178">
        <f t="shared" si="8"/>
        <v>0</v>
      </c>
    </row>
    <row r="179" spans="1:6" x14ac:dyDescent="0.3">
      <c r="A179" s="4" t="s">
        <v>176</v>
      </c>
      <c r="B179" s="5">
        <v>8.61</v>
      </c>
      <c r="D179">
        <f t="shared" si="6"/>
        <v>0</v>
      </c>
      <c r="E179">
        <f t="shared" si="7"/>
        <v>0</v>
      </c>
      <c r="F179">
        <f t="shared" si="8"/>
        <v>0</v>
      </c>
    </row>
    <row r="180" spans="1:6" x14ac:dyDescent="0.3">
      <c r="A180" s="4" t="s">
        <v>177</v>
      </c>
      <c r="B180" s="5">
        <v>8.6199999999999992</v>
      </c>
      <c r="D180">
        <f t="shared" si="6"/>
        <v>0</v>
      </c>
      <c r="E180">
        <f t="shared" si="7"/>
        <v>0</v>
      </c>
      <c r="F180">
        <f t="shared" si="8"/>
        <v>0</v>
      </c>
    </row>
    <row r="181" spans="1:6" x14ac:dyDescent="0.3">
      <c r="A181" s="4" t="s">
        <v>178</v>
      </c>
      <c r="B181" s="5">
        <v>8.6</v>
      </c>
      <c r="D181">
        <f t="shared" si="6"/>
        <v>0</v>
      </c>
      <c r="E181">
        <f t="shared" si="7"/>
        <v>0</v>
      </c>
      <c r="F181">
        <f t="shared" si="8"/>
        <v>0</v>
      </c>
    </row>
    <row r="182" spans="1:6" x14ac:dyDescent="0.3">
      <c r="A182" s="4" t="s">
        <v>179</v>
      </c>
      <c r="B182" s="5">
        <v>8.6199999999999992</v>
      </c>
      <c r="D182">
        <f t="shared" si="6"/>
        <v>0</v>
      </c>
      <c r="E182">
        <f t="shared" si="7"/>
        <v>0</v>
      </c>
      <c r="F182">
        <f t="shared" si="8"/>
        <v>0</v>
      </c>
    </row>
    <row r="183" spans="1:6" x14ac:dyDescent="0.3">
      <c r="A183" s="4" t="s">
        <v>180</v>
      </c>
      <c r="B183" s="5">
        <v>8.6199999999999992</v>
      </c>
      <c r="D183">
        <f t="shared" si="6"/>
        <v>0</v>
      </c>
      <c r="E183">
        <f t="shared" si="7"/>
        <v>0</v>
      </c>
      <c r="F183">
        <f t="shared" si="8"/>
        <v>0</v>
      </c>
    </row>
    <row r="184" spans="1:6" x14ac:dyDescent="0.3">
      <c r="A184" s="4" t="s">
        <v>181</v>
      </c>
      <c r="B184" s="5">
        <v>8.5500000000000007</v>
      </c>
      <c r="D184">
        <f t="shared" si="6"/>
        <v>0</v>
      </c>
      <c r="E184">
        <f t="shared" si="7"/>
        <v>0</v>
      </c>
      <c r="F184">
        <f t="shared" si="8"/>
        <v>0</v>
      </c>
    </row>
    <row r="185" spans="1:6" x14ac:dyDescent="0.3">
      <c r="A185" s="4" t="s">
        <v>182</v>
      </c>
      <c r="B185" s="5">
        <v>8.6300000000000008</v>
      </c>
      <c r="D185">
        <f t="shared" si="6"/>
        <v>0</v>
      </c>
      <c r="E185">
        <f t="shared" si="7"/>
        <v>0</v>
      </c>
      <c r="F185">
        <f t="shared" si="8"/>
        <v>0</v>
      </c>
    </row>
    <row r="186" spans="1:6" x14ac:dyDescent="0.3">
      <c r="A186" s="4" t="s">
        <v>183</v>
      </c>
      <c r="B186" s="5">
        <v>8.6199999999999992</v>
      </c>
      <c r="D186">
        <f t="shared" si="6"/>
        <v>0</v>
      </c>
      <c r="E186">
        <f t="shared" si="7"/>
        <v>0</v>
      </c>
      <c r="F186">
        <f t="shared" si="8"/>
        <v>0</v>
      </c>
    </row>
    <row r="187" spans="1:6" x14ac:dyDescent="0.3">
      <c r="A187" s="4" t="s">
        <v>184</v>
      </c>
      <c r="B187" s="5">
        <v>8.61</v>
      </c>
      <c r="D187">
        <f t="shared" si="6"/>
        <v>652958.69990258524</v>
      </c>
      <c r="E187">
        <f t="shared" si="7"/>
        <v>1305917.3998051705</v>
      </c>
      <c r="F187">
        <f t="shared" si="8"/>
        <v>1418.3568879283962</v>
      </c>
    </row>
    <row r="188" spans="1:6" x14ac:dyDescent="0.3">
      <c r="A188" s="4" t="s">
        <v>185</v>
      </c>
      <c r="B188" s="5">
        <v>9.3800000000000008</v>
      </c>
      <c r="D188">
        <f t="shared" si="6"/>
        <v>0</v>
      </c>
      <c r="E188">
        <f t="shared" si="7"/>
        <v>0</v>
      </c>
      <c r="F188">
        <f t="shared" si="8"/>
        <v>0</v>
      </c>
    </row>
    <row r="189" spans="1:6" x14ac:dyDescent="0.3">
      <c r="A189" s="4" t="s">
        <v>186</v>
      </c>
      <c r="B189" s="5">
        <v>9.3699999999999992</v>
      </c>
      <c r="D189">
        <f t="shared" si="6"/>
        <v>0</v>
      </c>
      <c r="E189">
        <f t="shared" si="7"/>
        <v>0</v>
      </c>
      <c r="F189">
        <f t="shared" si="8"/>
        <v>0</v>
      </c>
    </row>
    <row r="190" spans="1:6" x14ac:dyDescent="0.3">
      <c r="A190" s="4" t="s">
        <v>187</v>
      </c>
      <c r="B190" s="5">
        <v>10.119999999999999</v>
      </c>
      <c r="D190">
        <f t="shared" si="6"/>
        <v>0</v>
      </c>
      <c r="E190">
        <f t="shared" si="7"/>
        <v>0</v>
      </c>
      <c r="F190">
        <f t="shared" si="8"/>
        <v>0</v>
      </c>
    </row>
    <row r="191" spans="1:6" x14ac:dyDescent="0.3">
      <c r="A191" s="4" t="s">
        <v>188</v>
      </c>
      <c r="B191" s="5">
        <v>10.63</v>
      </c>
      <c r="D191">
        <f t="shared" si="6"/>
        <v>0</v>
      </c>
      <c r="E191">
        <f t="shared" si="7"/>
        <v>0</v>
      </c>
      <c r="F191">
        <f t="shared" si="8"/>
        <v>0</v>
      </c>
    </row>
    <row r="192" spans="1:6" x14ac:dyDescent="0.3">
      <c r="A192" s="4" t="s">
        <v>189</v>
      </c>
      <c r="B192" s="5">
        <v>10.63</v>
      </c>
      <c r="D192">
        <f t="shared" si="6"/>
        <v>0</v>
      </c>
      <c r="E192">
        <f t="shared" si="7"/>
        <v>0</v>
      </c>
      <c r="F192">
        <f t="shared" si="8"/>
        <v>0</v>
      </c>
    </row>
    <row r="193" spans="1:6" x14ac:dyDescent="0.3">
      <c r="A193" s="4" t="s">
        <v>190</v>
      </c>
      <c r="B193" s="5">
        <v>10.61</v>
      </c>
      <c r="D193">
        <f t="shared" si="6"/>
        <v>0</v>
      </c>
      <c r="E193">
        <f t="shared" si="7"/>
        <v>0</v>
      </c>
      <c r="F193">
        <f t="shared" si="8"/>
        <v>0</v>
      </c>
    </row>
    <row r="194" spans="1:6" x14ac:dyDescent="0.3">
      <c r="A194" s="4" t="s">
        <v>191</v>
      </c>
      <c r="B194" s="5">
        <v>10.64</v>
      </c>
      <c r="D194">
        <f t="shared" si="6"/>
        <v>0</v>
      </c>
      <c r="E194">
        <f t="shared" si="7"/>
        <v>0</v>
      </c>
      <c r="F194">
        <f t="shared" si="8"/>
        <v>0</v>
      </c>
    </row>
    <row r="195" spans="1:6" x14ac:dyDescent="0.3">
      <c r="A195" s="4" t="s">
        <v>192</v>
      </c>
      <c r="B195" s="5">
        <v>10.64</v>
      </c>
      <c r="D195">
        <f t="shared" si="6"/>
        <v>0</v>
      </c>
      <c r="E195">
        <f t="shared" si="7"/>
        <v>0</v>
      </c>
      <c r="F195">
        <f t="shared" si="8"/>
        <v>0</v>
      </c>
    </row>
    <row r="196" spans="1:6" x14ac:dyDescent="0.3">
      <c r="A196" s="4" t="s">
        <v>193</v>
      </c>
      <c r="B196" s="5">
        <v>10.64</v>
      </c>
      <c r="D196">
        <f t="shared" si="6"/>
        <v>0</v>
      </c>
      <c r="E196">
        <f t="shared" si="7"/>
        <v>0</v>
      </c>
      <c r="F196">
        <f t="shared" si="8"/>
        <v>0</v>
      </c>
    </row>
    <row r="197" spans="1:6" x14ac:dyDescent="0.3">
      <c r="A197" s="4" t="s">
        <v>194</v>
      </c>
      <c r="B197" s="5">
        <v>11.14</v>
      </c>
      <c r="D197">
        <f t="shared" si="6"/>
        <v>0</v>
      </c>
      <c r="E197">
        <f t="shared" si="7"/>
        <v>0</v>
      </c>
      <c r="F197">
        <f t="shared" si="8"/>
        <v>0</v>
      </c>
    </row>
    <row r="198" spans="1:6" x14ac:dyDescent="0.3">
      <c r="A198" s="4" t="s">
        <v>195</v>
      </c>
      <c r="B198" s="5">
        <v>11.15</v>
      </c>
      <c r="D198">
        <f t="shared" si="6"/>
        <v>0</v>
      </c>
      <c r="E198">
        <f t="shared" si="7"/>
        <v>0</v>
      </c>
      <c r="F198">
        <f t="shared" si="8"/>
        <v>0</v>
      </c>
    </row>
    <row r="199" spans="1:6" x14ac:dyDescent="0.3">
      <c r="A199" s="4" t="s">
        <v>196</v>
      </c>
      <c r="B199" s="5">
        <v>11.66</v>
      </c>
      <c r="D199">
        <f t="shared" ref="D199:D262" si="9">D211/((100+B199)/100)</f>
        <v>709178.44396419788</v>
      </c>
      <c r="E199">
        <f t="shared" ref="E199:E262" si="10">E211/((100+B199)/100)</f>
        <v>1418356.8879283958</v>
      </c>
      <c r="F199">
        <f t="shared" ref="F199:F262" si="11">F211/((100+B211)/100)</f>
        <v>1583.7373010608471</v>
      </c>
    </row>
    <row r="200" spans="1:6" x14ac:dyDescent="0.3">
      <c r="A200" s="4" t="s">
        <v>197</v>
      </c>
      <c r="B200" s="5">
        <v>11.91</v>
      </c>
      <c r="D200">
        <f t="shared" si="9"/>
        <v>0</v>
      </c>
      <c r="E200">
        <f t="shared" si="10"/>
        <v>0</v>
      </c>
      <c r="F200">
        <f t="shared" si="11"/>
        <v>0</v>
      </c>
    </row>
    <row r="201" spans="1:6" x14ac:dyDescent="0.3">
      <c r="A201" s="4" t="s">
        <v>198</v>
      </c>
      <c r="B201" s="5">
        <v>11.85</v>
      </c>
      <c r="D201">
        <f t="shared" si="9"/>
        <v>0</v>
      </c>
      <c r="E201">
        <f t="shared" si="10"/>
        <v>0</v>
      </c>
      <c r="F201">
        <f t="shared" si="11"/>
        <v>0</v>
      </c>
    </row>
    <row r="202" spans="1:6" x14ac:dyDescent="0.3">
      <c r="A202" s="4" t="s">
        <v>199</v>
      </c>
      <c r="B202" s="5">
        <v>12.15</v>
      </c>
      <c r="D202">
        <f t="shared" si="9"/>
        <v>0</v>
      </c>
      <c r="E202">
        <f t="shared" si="10"/>
        <v>0</v>
      </c>
      <c r="F202">
        <f t="shared" si="11"/>
        <v>0</v>
      </c>
    </row>
    <row r="203" spans="1:6" x14ac:dyDescent="0.3">
      <c r="A203" s="4" t="s">
        <v>200</v>
      </c>
      <c r="B203" s="5">
        <v>12.4</v>
      </c>
      <c r="D203">
        <f t="shared" si="9"/>
        <v>0</v>
      </c>
      <c r="E203">
        <f t="shared" si="10"/>
        <v>0</v>
      </c>
      <c r="F203">
        <f t="shared" si="11"/>
        <v>0</v>
      </c>
    </row>
    <row r="204" spans="1:6" x14ac:dyDescent="0.3">
      <c r="A204" s="4" t="s">
        <v>201</v>
      </c>
      <c r="B204" s="5">
        <v>12.39</v>
      </c>
      <c r="D204">
        <f t="shared" si="9"/>
        <v>0</v>
      </c>
      <c r="E204">
        <f t="shared" si="10"/>
        <v>0</v>
      </c>
      <c r="F204">
        <f t="shared" si="11"/>
        <v>0</v>
      </c>
    </row>
    <row r="205" spans="1:6" x14ac:dyDescent="0.3">
      <c r="A205" s="4" t="s">
        <v>202</v>
      </c>
      <c r="B205" s="5">
        <v>11.88</v>
      </c>
      <c r="D205">
        <f t="shared" si="9"/>
        <v>0</v>
      </c>
      <c r="E205">
        <f t="shared" si="10"/>
        <v>0</v>
      </c>
      <c r="F205">
        <f t="shared" si="11"/>
        <v>0</v>
      </c>
    </row>
    <row r="206" spans="1:6" x14ac:dyDescent="0.3">
      <c r="A206" s="4" t="s">
        <v>203</v>
      </c>
      <c r="B206" s="5">
        <v>11.39</v>
      </c>
      <c r="D206">
        <f t="shared" si="9"/>
        <v>0</v>
      </c>
      <c r="E206">
        <f t="shared" si="10"/>
        <v>0</v>
      </c>
      <c r="F206">
        <f t="shared" si="11"/>
        <v>0</v>
      </c>
    </row>
    <row r="207" spans="1:6" x14ac:dyDescent="0.3">
      <c r="A207" s="4" t="s">
        <v>204</v>
      </c>
      <c r="B207" s="5">
        <v>11.36</v>
      </c>
      <c r="D207">
        <f t="shared" si="9"/>
        <v>0</v>
      </c>
      <c r="E207">
        <f t="shared" si="10"/>
        <v>0</v>
      </c>
      <c r="F207">
        <f t="shared" si="11"/>
        <v>0</v>
      </c>
    </row>
    <row r="208" spans="1:6" x14ac:dyDescent="0.3">
      <c r="A208" s="4" t="s">
        <v>205</v>
      </c>
      <c r="B208" s="5">
        <v>10.87</v>
      </c>
      <c r="D208">
        <f t="shared" si="9"/>
        <v>0</v>
      </c>
      <c r="E208">
        <f t="shared" si="10"/>
        <v>0</v>
      </c>
      <c r="F208">
        <f t="shared" si="11"/>
        <v>0</v>
      </c>
    </row>
    <row r="209" spans="1:6" x14ac:dyDescent="0.3">
      <c r="A209" s="4" t="s">
        <v>206</v>
      </c>
      <c r="B209" s="5">
        <v>10.31</v>
      </c>
      <c r="D209">
        <f t="shared" si="9"/>
        <v>0</v>
      </c>
      <c r="E209">
        <f t="shared" si="10"/>
        <v>0</v>
      </c>
      <c r="F209">
        <f t="shared" si="11"/>
        <v>0</v>
      </c>
    </row>
    <row r="210" spans="1:6" x14ac:dyDescent="0.3">
      <c r="A210" s="4" t="s">
        <v>207</v>
      </c>
      <c r="B210" s="5">
        <v>10.27</v>
      </c>
      <c r="D210">
        <f t="shared" si="9"/>
        <v>0</v>
      </c>
      <c r="E210">
        <f t="shared" si="10"/>
        <v>0</v>
      </c>
      <c r="F210">
        <f t="shared" si="11"/>
        <v>0</v>
      </c>
    </row>
    <row r="211" spans="1:6" x14ac:dyDescent="0.3">
      <c r="A211" s="4" t="s">
        <v>208</v>
      </c>
      <c r="B211" s="5">
        <v>9.52</v>
      </c>
      <c r="D211">
        <f t="shared" si="9"/>
        <v>791868.65053042339</v>
      </c>
      <c r="E211">
        <f t="shared" si="10"/>
        <v>1583737.3010608468</v>
      </c>
      <c r="F211">
        <f t="shared" si="11"/>
        <v>1734.5090921218398</v>
      </c>
    </row>
    <row r="212" spans="1:6" x14ac:dyDescent="0.3">
      <c r="A212" s="4" t="s">
        <v>209</v>
      </c>
      <c r="B212" s="5">
        <v>8.6999999999999993</v>
      </c>
      <c r="D212">
        <f t="shared" si="9"/>
        <v>0</v>
      </c>
      <c r="E212">
        <f t="shared" si="10"/>
        <v>0</v>
      </c>
      <c r="F212">
        <f t="shared" si="11"/>
        <v>0</v>
      </c>
    </row>
    <row r="213" spans="1:6" x14ac:dyDescent="0.3">
      <c r="A213" s="4" t="s">
        <v>210</v>
      </c>
      <c r="B213" s="5">
        <v>8.33</v>
      </c>
      <c r="D213">
        <f t="shared" si="9"/>
        <v>0</v>
      </c>
      <c r="E213">
        <f t="shared" si="10"/>
        <v>0</v>
      </c>
      <c r="F213">
        <f t="shared" si="11"/>
        <v>0</v>
      </c>
    </row>
    <row r="214" spans="1:6" x14ac:dyDescent="0.3">
      <c r="A214" s="4" t="s">
        <v>211</v>
      </c>
      <c r="B214" s="5">
        <v>8.3800000000000008</v>
      </c>
      <c r="D214">
        <f t="shared" si="9"/>
        <v>0</v>
      </c>
      <c r="E214">
        <f t="shared" si="10"/>
        <v>0</v>
      </c>
      <c r="F214">
        <f t="shared" si="11"/>
        <v>0</v>
      </c>
    </row>
    <row r="215" spans="1:6" x14ac:dyDescent="0.3">
      <c r="A215" s="4" t="s">
        <v>212</v>
      </c>
      <c r="B215" s="5">
        <v>7.83</v>
      </c>
      <c r="D215">
        <f t="shared" si="9"/>
        <v>0</v>
      </c>
      <c r="E215">
        <f t="shared" si="10"/>
        <v>0</v>
      </c>
      <c r="F215">
        <f t="shared" si="11"/>
        <v>0</v>
      </c>
    </row>
    <row r="216" spans="1:6" x14ac:dyDescent="0.3">
      <c r="A216" s="4" t="s">
        <v>213</v>
      </c>
      <c r="B216" s="5">
        <v>7.38</v>
      </c>
      <c r="D216">
        <f t="shared" si="9"/>
        <v>0</v>
      </c>
      <c r="E216">
        <f t="shared" si="10"/>
        <v>0</v>
      </c>
      <c r="F216">
        <f t="shared" si="11"/>
        <v>0</v>
      </c>
    </row>
    <row r="217" spans="1:6" x14ac:dyDescent="0.3">
      <c r="A217" s="4" t="s">
        <v>214</v>
      </c>
      <c r="B217" s="5">
        <v>7.36</v>
      </c>
      <c r="D217">
        <f t="shared" si="9"/>
        <v>0</v>
      </c>
      <c r="E217">
        <f t="shared" si="10"/>
        <v>0</v>
      </c>
      <c r="F217">
        <f t="shared" si="11"/>
        <v>0</v>
      </c>
    </row>
    <row r="218" spans="1:6" x14ac:dyDescent="0.3">
      <c r="A218" s="4" t="s">
        <v>215</v>
      </c>
      <c r="B218" s="5">
        <v>7.09</v>
      </c>
      <c r="D218">
        <f t="shared" si="9"/>
        <v>0</v>
      </c>
      <c r="E218">
        <f t="shared" si="10"/>
        <v>0</v>
      </c>
      <c r="F218">
        <f t="shared" si="11"/>
        <v>0</v>
      </c>
    </row>
    <row r="219" spans="1:6" x14ac:dyDescent="0.3">
      <c r="A219" s="4" t="s">
        <v>216</v>
      </c>
      <c r="B219" s="5">
        <v>7.06</v>
      </c>
      <c r="D219">
        <f t="shared" si="9"/>
        <v>0</v>
      </c>
      <c r="E219">
        <f t="shared" si="10"/>
        <v>0</v>
      </c>
      <c r="F219">
        <f t="shared" si="11"/>
        <v>0</v>
      </c>
    </row>
    <row r="220" spans="1:6" x14ac:dyDescent="0.3">
      <c r="A220" s="4" t="s">
        <v>217</v>
      </c>
      <c r="B220" s="5">
        <v>6.9</v>
      </c>
      <c r="D220">
        <f t="shared" si="9"/>
        <v>0</v>
      </c>
      <c r="E220">
        <f t="shared" si="10"/>
        <v>0</v>
      </c>
      <c r="F220">
        <f t="shared" si="11"/>
        <v>0</v>
      </c>
    </row>
    <row r="221" spans="1:6" x14ac:dyDescent="0.3">
      <c r="A221" s="4" t="s">
        <v>218</v>
      </c>
      <c r="B221" s="5">
        <v>6.95</v>
      </c>
      <c r="D221">
        <f t="shared" si="9"/>
        <v>0</v>
      </c>
      <c r="E221">
        <f t="shared" si="10"/>
        <v>0</v>
      </c>
      <c r="F221">
        <f t="shared" si="11"/>
        <v>0</v>
      </c>
    </row>
    <row r="222" spans="1:6" x14ac:dyDescent="0.3">
      <c r="A222" s="4" t="s">
        <v>219</v>
      </c>
      <c r="B222" s="5">
        <v>6.98</v>
      </c>
      <c r="D222">
        <f t="shared" si="9"/>
        <v>0</v>
      </c>
      <c r="E222">
        <f t="shared" si="10"/>
        <v>0</v>
      </c>
      <c r="F222">
        <f t="shared" si="11"/>
        <v>0</v>
      </c>
    </row>
    <row r="223" spans="1:6" x14ac:dyDescent="0.3">
      <c r="A223" s="4" t="s">
        <v>220</v>
      </c>
      <c r="B223" s="5">
        <v>7.01</v>
      </c>
      <c r="D223">
        <f t="shared" si="9"/>
        <v>867254.54606091965</v>
      </c>
      <c r="E223">
        <f t="shared" si="10"/>
        <v>1734509.0921218393</v>
      </c>
      <c r="F223">
        <f t="shared" si="11"/>
        <v>1856.0981794795807</v>
      </c>
    </row>
    <row r="224" spans="1:6" x14ac:dyDescent="0.3">
      <c r="A224" s="4" t="s">
        <v>221</v>
      </c>
      <c r="B224" s="5">
        <v>7.23</v>
      </c>
      <c r="D224">
        <f t="shared" si="9"/>
        <v>0</v>
      </c>
      <c r="E224">
        <f t="shared" si="10"/>
        <v>0</v>
      </c>
      <c r="F224">
        <f t="shared" si="11"/>
        <v>0</v>
      </c>
    </row>
    <row r="225" spans="1:6" x14ac:dyDescent="0.3">
      <c r="A225" s="4" t="s">
        <v>222</v>
      </c>
      <c r="B225" s="5">
        <v>7.72</v>
      </c>
      <c r="D225">
        <f t="shared" si="9"/>
        <v>0</v>
      </c>
      <c r="E225">
        <f t="shared" si="10"/>
        <v>0</v>
      </c>
      <c r="F225">
        <f t="shared" si="11"/>
        <v>0</v>
      </c>
    </row>
    <row r="226" spans="1:6" x14ac:dyDescent="0.3">
      <c r="A226" s="4" t="s">
        <v>223</v>
      </c>
      <c r="B226" s="5">
        <v>7.72</v>
      </c>
      <c r="D226">
        <f t="shared" si="9"/>
        <v>0</v>
      </c>
      <c r="E226">
        <f t="shared" si="10"/>
        <v>0</v>
      </c>
      <c r="F226">
        <f t="shared" si="11"/>
        <v>0</v>
      </c>
    </row>
    <row r="227" spans="1:6" x14ac:dyDescent="0.3">
      <c r="A227" s="4" t="s">
        <v>224</v>
      </c>
      <c r="B227" s="5">
        <v>8.2200000000000006</v>
      </c>
      <c r="D227">
        <f t="shared" si="9"/>
        <v>0</v>
      </c>
      <c r="E227">
        <f t="shared" si="10"/>
        <v>0</v>
      </c>
      <c r="F227">
        <f t="shared" si="11"/>
        <v>0</v>
      </c>
    </row>
    <row r="228" spans="1:6" x14ac:dyDescent="0.3">
      <c r="A228" s="4" t="s">
        <v>225</v>
      </c>
      <c r="B228" s="5">
        <v>8.7200000000000006</v>
      </c>
      <c r="D228">
        <f t="shared" si="9"/>
        <v>0</v>
      </c>
      <c r="E228">
        <f t="shared" si="10"/>
        <v>0</v>
      </c>
      <c r="F228">
        <f t="shared" si="11"/>
        <v>0</v>
      </c>
    </row>
    <row r="229" spans="1:6" x14ac:dyDescent="0.3">
      <c r="A229" s="4" t="s">
        <v>226</v>
      </c>
      <c r="B229" s="5">
        <v>8.7100000000000009</v>
      </c>
      <c r="D229">
        <f t="shared" si="9"/>
        <v>0</v>
      </c>
      <c r="E229">
        <f t="shared" si="10"/>
        <v>0</v>
      </c>
      <c r="F229">
        <f t="shared" si="11"/>
        <v>0</v>
      </c>
    </row>
    <row r="230" spans="1:6" x14ac:dyDescent="0.3">
      <c r="A230" s="4" t="s">
        <v>227</v>
      </c>
      <c r="B230" s="5">
        <v>9.32</v>
      </c>
      <c r="D230">
        <f t="shared" si="9"/>
        <v>0</v>
      </c>
      <c r="E230">
        <f t="shared" si="10"/>
        <v>0</v>
      </c>
      <c r="F230">
        <f t="shared" si="11"/>
        <v>0</v>
      </c>
    </row>
    <row r="231" spans="1:6" x14ac:dyDescent="0.3">
      <c r="A231" s="4" t="s">
        <v>228</v>
      </c>
      <c r="B231" s="5">
        <v>9.77</v>
      </c>
      <c r="D231">
        <f t="shared" si="9"/>
        <v>0</v>
      </c>
      <c r="E231">
        <f t="shared" si="10"/>
        <v>0</v>
      </c>
      <c r="F231">
        <f t="shared" si="11"/>
        <v>0</v>
      </c>
    </row>
    <row r="232" spans="1:6" x14ac:dyDescent="0.3">
      <c r="A232" s="4" t="s">
        <v>229</v>
      </c>
      <c r="B232" s="5">
        <v>9.77</v>
      </c>
      <c r="D232">
        <f t="shared" si="9"/>
        <v>0</v>
      </c>
      <c r="E232">
        <f t="shared" si="10"/>
        <v>0</v>
      </c>
      <c r="F232">
        <f t="shared" si="11"/>
        <v>0</v>
      </c>
    </row>
    <row r="233" spans="1:6" x14ac:dyDescent="0.3">
      <c r="A233" s="4" t="s">
        <v>230</v>
      </c>
      <c r="B233" s="5">
        <v>10.27</v>
      </c>
      <c r="D233">
        <f t="shared" si="9"/>
        <v>0</v>
      </c>
      <c r="E233">
        <f t="shared" si="10"/>
        <v>0</v>
      </c>
      <c r="F233">
        <f t="shared" si="11"/>
        <v>0</v>
      </c>
    </row>
    <row r="234" spans="1:6" x14ac:dyDescent="0.3">
      <c r="A234" s="4" t="s">
        <v>231</v>
      </c>
      <c r="B234" s="5">
        <v>10.59</v>
      </c>
      <c r="D234">
        <f t="shared" si="9"/>
        <v>0</v>
      </c>
      <c r="E234">
        <f t="shared" si="10"/>
        <v>0</v>
      </c>
      <c r="F234">
        <f t="shared" si="11"/>
        <v>0</v>
      </c>
    </row>
    <row r="235" spans="1:6" x14ac:dyDescent="0.3">
      <c r="A235" s="4" t="s">
        <v>232</v>
      </c>
      <c r="B235" s="5">
        <v>10.55</v>
      </c>
      <c r="D235">
        <f t="shared" si="9"/>
        <v>928049.08973979019</v>
      </c>
      <c r="E235">
        <f t="shared" si="10"/>
        <v>1856098.1794795804</v>
      </c>
      <c r="F235">
        <f t="shared" si="11"/>
        <v>2051.9165374146764</v>
      </c>
    </row>
    <row r="236" spans="1:6" x14ac:dyDescent="0.3">
      <c r="A236" s="4" t="s">
        <v>233</v>
      </c>
      <c r="B236" s="5">
        <v>10.8</v>
      </c>
      <c r="D236">
        <f t="shared" si="9"/>
        <v>0</v>
      </c>
      <c r="E236">
        <f t="shared" si="10"/>
        <v>0</v>
      </c>
      <c r="F236">
        <f t="shared" si="11"/>
        <v>0</v>
      </c>
    </row>
    <row r="237" spans="1:6" x14ac:dyDescent="0.3">
      <c r="A237" s="4" t="s">
        <v>234</v>
      </c>
      <c r="B237" s="5">
        <v>10.8</v>
      </c>
      <c r="D237">
        <f t="shared" si="9"/>
        <v>0</v>
      </c>
      <c r="E237">
        <f t="shared" si="10"/>
        <v>0</v>
      </c>
      <c r="F237">
        <f t="shared" si="11"/>
        <v>0</v>
      </c>
    </row>
    <row r="238" spans="1:6" x14ac:dyDescent="0.3">
      <c r="A238" s="4" t="s">
        <v>235</v>
      </c>
      <c r="B238" s="5">
        <v>10.8</v>
      </c>
      <c r="D238">
        <f t="shared" si="9"/>
        <v>0</v>
      </c>
      <c r="E238">
        <f t="shared" si="10"/>
        <v>0</v>
      </c>
      <c r="F238">
        <f t="shared" si="11"/>
        <v>0</v>
      </c>
    </row>
    <row r="239" spans="1:6" x14ac:dyDescent="0.3">
      <c r="A239" s="4" t="s">
        <v>236</v>
      </c>
      <c r="B239" s="5">
        <v>10.8</v>
      </c>
      <c r="D239">
        <f t="shared" si="9"/>
        <v>0</v>
      </c>
      <c r="E239">
        <f t="shared" si="10"/>
        <v>0</v>
      </c>
      <c r="F239">
        <f t="shared" si="11"/>
        <v>0</v>
      </c>
    </row>
    <row r="240" spans="1:6" x14ac:dyDescent="0.3">
      <c r="A240" s="4" t="s">
        <v>237</v>
      </c>
      <c r="B240" s="5">
        <v>10.81</v>
      </c>
      <c r="D240">
        <f t="shared" si="9"/>
        <v>0</v>
      </c>
      <c r="E240">
        <f t="shared" si="10"/>
        <v>0</v>
      </c>
      <c r="F240">
        <f t="shared" si="11"/>
        <v>0</v>
      </c>
    </row>
    <row r="241" spans="1:6" x14ac:dyDescent="0.3">
      <c r="A241" s="4" t="s">
        <v>238</v>
      </c>
      <c r="B241" s="5">
        <v>10.81</v>
      </c>
      <c r="D241">
        <f t="shared" si="9"/>
        <v>0</v>
      </c>
      <c r="E241">
        <f t="shared" si="10"/>
        <v>0</v>
      </c>
      <c r="F241">
        <f t="shared" si="11"/>
        <v>0</v>
      </c>
    </row>
    <row r="242" spans="1:6" x14ac:dyDescent="0.3">
      <c r="A242" s="4" t="s">
        <v>239</v>
      </c>
      <c r="B242" s="5">
        <v>11.06</v>
      </c>
      <c r="D242">
        <f t="shared" si="9"/>
        <v>0</v>
      </c>
      <c r="E242">
        <f t="shared" si="10"/>
        <v>0</v>
      </c>
      <c r="F242">
        <f t="shared" si="11"/>
        <v>0</v>
      </c>
    </row>
    <row r="243" spans="1:6" x14ac:dyDescent="0.3">
      <c r="A243" s="4" t="s">
        <v>240</v>
      </c>
      <c r="B243" s="5">
        <v>11.06</v>
      </c>
      <c r="D243">
        <f t="shared" si="9"/>
        <v>0</v>
      </c>
      <c r="E243">
        <f t="shared" si="10"/>
        <v>0</v>
      </c>
      <c r="F243">
        <f t="shared" si="11"/>
        <v>0</v>
      </c>
    </row>
    <row r="244" spans="1:6" x14ac:dyDescent="0.3">
      <c r="A244" s="4" t="s">
        <v>241</v>
      </c>
      <c r="B244" s="5">
        <v>11.57</v>
      </c>
      <c r="D244">
        <f t="shared" si="9"/>
        <v>0</v>
      </c>
      <c r="E244">
        <f t="shared" si="10"/>
        <v>0</v>
      </c>
      <c r="F244">
        <f t="shared" si="11"/>
        <v>0</v>
      </c>
    </row>
    <row r="245" spans="1:6" x14ac:dyDescent="0.3">
      <c r="A245" s="4" t="s">
        <v>242</v>
      </c>
      <c r="B245" s="5">
        <v>12.08</v>
      </c>
      <c r="D245">
        <f t="shared" si="9"/>
        <v>0</v>
      </c>
      <c r="E245">
        <f t="shared" si="10"/>
        <v>0</v>
      </c>
      <c r="F245">
        <f t="shared" si="11"/>
        <v>0</v>
      </c>
    </row>
    <row r="246" spans="1:6" x14ac:dyDescent="0.3">
      <c r="A246" s="4" t="s">
        <v>243</v>
      </c>
      <c r="B246" s="5">
        <v>12.09</v>
      </c>
      <c r="D246">
        <f t="shared" si="9"/>
        <v>0</v>
      </c>
      <c r="E246">
        <f t="shared" si="10"/>
        <v>0</v>
      </c>
      <c r="F246">
        <f t="shared" si="11"/>
        <v>0</v>
      </c>
    </row>
    <row r="247" spans="1:6" x14ac:dyDescent="0.3">
      <c r="A247" s="4" t="s">
        <v>244</v>
      </c>
      <c r="B247" s="5">
        <v>12.6</v>
      </c>
      <c r="D247">
        <f t="shared" si="9"/>
        <v>1025958.268707338</v>
      </c>
      <c r="E247">
        <f t="shared" si="10"/>
        <v>2051916.537414676</v>
      </c>
      <c r="F247">
        <f t="shared" si="11"/>
        <v>2310.4580211289253</v>
      </c>
    </row>
    <row r="248" spans="1:6" x14ac:dyDescent="0.3">
      <c r="A248" s="4" t="s">
        <v>245</v>
      </c>
      <c r="B248" s="5">
        <v>13.11</v>
      </c>
      <c r="D248">
        <f t="shared" si="9"/>
        <v>0</v>
      </c>
      <c r="E248">
        <f t="shared" si="10"/>
        <v>0</v>
      </c>
      <c r="F248">
        <f t="shared" si="11"/>
        <v>0</v>
      </c>
    </row>
    <row r="249" spans="1:6" x14ac:dyDescent="0.3">
      <c r="A249" s="4" t="s">
        <v>246</v>
      </c>
      <c r="B249" s="5">
        <v>13.13</v>
      </c>
      <c r="D249">
        <f t="shared" si="9"/>
        <v>0</v>
      </c>
      <c r="E249">
        <f t="shared" si="10"/>
        <v>0</v>
      </c>
      <c r="F249">
        <f t="shared" si="11"/>
        <v>0</v>
      </c>
    </row>
    <row r="250" spans="1:6" x14ac:dyDescent="0.3">
      <c r="A250" s="4" t="s">
        <v>247</v>
      </c>
      <c r="B250" s="5">
        <v>13.64</v>
      </c>
      <c r="D250">
        <f t="shared" si="9"/>
        <v>0</v>
      </c>
      <c r="E250">
        <f t="shared" si="10"/>
        <v>0</v>
      </c>
      <c r="F250">
        <f t="shared" si="11"/>
        <v>0</v>
      </c>
    </row>
    <row r="251" spans="1:6" x14ac:dyDescent="0.3">
      <c r="A251" s="4" t="s">
        <v>248</v>
      </c>
      <c r="B251" s="5">
        <v>14.13</v>
      </c>
      <c r="D251">
        <f t="shared" si="9"/>
        <v>0</v>
      </c>
      <c r="E251">
        <f t="shared" si="10"/>
        <v>0</v>
      </c>
      <c r="F251">
        <f t="shared" si="11"/>
        <v>0</v>
      </c>
    </row>
    <row r="252" spans="1:6" x14ac:dyDescent="0.3">
      <c r="A252" s="4" t="s">
        <v>249</v>
      </c>
      <c r="B252" s="5">
        <v>14.13</v>
      </c>
      <c r="D252">
        <f t="shared" si="9"/>
        <v>0</v>
      </c>
      <c r="E252">
        <f t="shared" si="10"/>
        <v>0</v>
      </c>
      <c r="F252">
        <f t="shared" si="11"/>
        <v>0</v>
      </c>
    </row>
    <row r="253" spans="1:6" x14ac:dyDescent="0.3">
      <c r="A253" s="4" t="s">
        <v>250</v>
      </c>
      <c r="B253" s="5">
        <v>14.13</v>
      </c>
      <c r="D253">
        <f t="shared" si="9"/>
        <v>0</v>
      </c>
      <c r="E253">
        <f t="shared" si="10"/>
        <v>0</v>
      </c>
      <c r="F253">
        <f t="shared" si="11"/>
        <v>0</v>
      </c>
    </row>
    <row r="254" spans="1:6" x14ac:dyDescent="0.3">
      <c r="A254" s="4" t="s">
        <v>251</v>
      </c>
      <c r="B254" s="5">
        <v>14.14</v>
      </c>
      <c r="D254">
        <f t="shared" si="9"/>
        <v>0</v>
      </c>
      <c r="E254">
        <f t="shared" si="10"/>
        <v>0</v>
      </c>
      <c r="F254">
        <f t="shared" si="11"/>
        <v>0</v>
      </c>
    </row>
    <row r="255" spans="1:6" x14ac:dyDescent="0.3">
      <c r="A255" s="4" t="s">
        <v>252</v>
      </c>
      <c r="B255" s="5">
        <v>14.14</v>
      </c>
      <c r="D255">
        <f t="shared" si="9"/>
        <v>0</v>
      </c>
      <c r="E255">
        <f t="shared" si="10"/>
        <v>0</v>
      </c>
      <c r="F255">
        <f t="shared" si="11"/>
        <v>0</v>
      </c>
    </row>
    <row r="256" spans="1:6" x14ac:dyDescent="0.3">
      <c r="A256" s="4" t="s">
        <v>253</v>
      </c>
      <c r="B256" s="5">
        <v>14.14</v>
      </c>
      <c r="D256">
        <f t="shared" si="9"/>
        <v>0</v>
      </c>
      <c r="E256">
        <f t="shared" si="10"/>
        <v>0</v>
      </c>
      <c r="F256">
        <f t="shared" si="11"/>
        <v>0</v>
      </c>
    </row>
    <row r="257" spans="1:6" x14ac:dyDescent="0.3">
      <c r="A257" s="4" t="s">
        <v>254</v>
      </c>
      <c r="B257" s="5">
        <v>14.13</v>
      </c>
      <c r="D257">
        <f t="shared" si="9"/>
        <v>0</v>
      </c>
      <c r="E257">
        <f t="shared" si="10"/>
        <v>0</v>
      </c>
      <c r="F257">
        <f t="shared" si="11"/>
        <v>0</v>
      </c>
    </row>
    <row r="258" spans="1:6" x14ac:dyDescent="0.3">
      <c r="A258" s="4" t="s">
        <v>255</v>
      </c>
      <c r="B258" s="5">
        <v>14.13</v>
      </c>
      <c r="D258">
        <f t="shared" si="9"/>
        <v>0</v>
      </c>
      <c r="E258">
        <f t="shared" si="10"/>
        <v>0</v>
      </c>
      <c r="F258">
        <f t="shared" si="11"/>
        <v>0</v>
      </c>
    </row>
    <row r="259" spans="1:6" x14ac:dyDescent="0.3">
      <c r="A259" s="4" t="s">
        <v>256</v>
      </c>
      <c r="B259" s="5">
        <v>14.13</v>
      </c>
      <c r="D259">
        <f t="shared" si="9"/>
        <v>1155229.0105644625</v>
      </c>
      <c r="E259">
        <f t="shared" si="10"/>
        <v>2310458.021128925</v>
      </c>
      <c r="F259">
        <f t="shared" si="11"/>
        <v>2636.9257395144423</v>
      </c>
    </row>
    <row r="260" spans="1:6" x14ac:dyDescent="0.3">
      <c r="A260" s="4" t="s">
        <v>257</v>
      </c>
      <c r="B260" s="5">
        <v>14.13</v>
      </c>
      <c r="D260">
        <f t="shared" si="9"/>
        <v>0</v>
      </c>
      <c r="E260">
        <f t="shared" si="10"/>
        <v>0</v>
      </c>
      <c r="F260">
        <f t="shared" si="11"/>
        <v>0</v>
      </c>
    </row>
    <row r="261" spans="1:6" x14ac:dyDescent="0.3">
      <c r="A261" s="4" t="s">
        <v>258</v>
      </c>
      <c r="B261" s="5">
        <v>14.13</v>
      </c>
      <c r="D261">
        <f t="shared" si="9"/>
        <v>0</v>
      </c>
      <c r="E261">
        <f t="shared" si="10"/>
        <v>0</v>
      </c>
      <c r="F261">
        <f t="shared" si="11"/>
        <v>0</v>
      </c>
    </row>
    <row r="262" spans="1:6" x14ac:dyDescent="0.3">
      <c r="A262" s="4" t="s">
        <v>259</v>
      </c>
      <c r="B262" s="5">
        <v>14.13</v>
      </c>
      <c r="D262">
        <f t="shared" si="9"/>
        <v>0</v>
      </c>
      <c r="E262">
        <f t="shared" si="10"/>
        <v>0</v>
      </c>
      <c r="F262">
        <f t="shared" si="11"/>
        <v>0</v>
      </c>
    </row>
    <row r="263" spans="1:6" x14ac:dyDescent="0.3">
      <c r="A263" s="4" t="s">
        <v>260</v>
      </c>
      <c r="B263" s="5">
        <v>14.13</v>
      </c>
      <c r="D263">
        <f t="shared" ref="D263:D326" si="12">D275/((100+B263)/100)</f>
        <v>0</v>
      </c>
      <c r="E263">
        <f t="shared" ref="E263:E326" si="13">E275/((100+B263)/100)</f>
        <v>0</v>
      </c>
      <c r="F263">
        <f t="shared" ref="F263:F326" si="14">F275/((100+B275)/100)</f>
        <v>0</v>
      </c>
    </row>
    <row r="264" spans="1:6" x14ac:dyDescent="0.3">
      <c r="A264" s="4" t="s">
        <v>261</v>
      </c>
      <c r="B264" s="5">
        <v>14.13</v>
      </c>
      <c r="D264">
        <f t="shared" si="12"/>
        <v>0</v>
      </c>
      <c r="E264">
        <f t="shared" si="13"/>
        <v>0</v>
      </c>
      <c r="F264">
        <f t="shared" si="14"/>
        <v>0</v>
      </c>
    </row>
    <row r="265" spans="1:6" x14ac:dyDescent="0.3">
      <c r="A265" s="4" t="s">
        <v>262</v>
      </c>
      <c r="B265" s="5">
        <v>14.13</v>
      </c>
      <c r="D265">
        <f t="shared" si="12"/>
        <v>0</v>
      </c>
      <c r="E265">
        <f t="shared" si="13"/>
        <v>0</v>
      </c>
      <c r="F265">
        <f t="shared" si="14"/>
        <v>0</v>
      </c>
    </row>
    <row r="266" spans="1:6" x14ac:dyDescent="0.3">
      <c r="A266" s="4" t="s">
        <v>263</v>
      </c>
      <c r="B266" s="5">
        <v>13.88</v>
      </c>
      <c r="D266">
        <f t="shared" si="12"/>
        <v>0</v>
      </c>
      <c r="E266">
        <f t="shared" si="13"/>
        <v>0</v>
      </c>
      <c r="F266">
        <f t="shared" si="14"/>
        <v>0</v>
      </c>
    </row>
    <row r="267" spans="1:6" x14ac:dyDescent="0.3">
      <c r="A267" s="4" t="s">
        <v>264</v>
      </c>
      <c r="B267" s="5">
        <v>13.88</v>
      </c>
      <c r="D267">
        <f t="shared" si="12"/>
        <v>0</v>
      </c>
      <c r="E267">
        <f t="shared" si="13"/>
        <v>0</v>
      </c>
      <c r="F267">
        <f t="shared" si="14"/>
        <v>0</v>
      </c>
    </row>
    <row r="268" spans="1:6" x14ac:dyDescent="0.3">
      <c r="A268" s="4" t="s">
        <v>265</v>
      </c>
      <c r="B268" s="5">
        <v>13.63</v>
      </c>
      <c r="D268">
        <f t="shared" si="12"/>
        <v>0</v>
      </c>
      <c r="E268">
        <f t="shared" si="13"/>
        <v>0</v>
      </c>
      <c r="F268">
        <f t="shared" si="14"/>
        <v>0</v>
      </c>
    </row>
    <row r="269" spans="1:6" x14ac:dyDescent="0.3">
      <c r="A269" s="4" t="s">
        <v>266</v>
      </c>
      <c r="B269" s="5">
        <v>12.88</v>
      </c>
      <c r="D269">
        <f t="shared" si="12"/>
        <v>0</v>
      </c>
      <c r="E269">
        <f t="shared" si="13"/>
        <v>0</v>
      </c>
      <c r="F269">
        <f t="shared" si="14"/>
        <v>0</v>
      </c>
    </row>
    <row r="270" spans="1:6" x14ac:dyDescent="0.3">
      <c r="A270" s="4" t="s">
        <v>267</v>
      </c>
      <c r="B270" s="5">
        <v>12.13</v>
      </c>
      <c r="D270">
        <f t="shared" si="12"/>
        <v>0</v>
      </c>
      <c r="E270">
        <f t="shared" si="13"/>
        <v>0</v>
      </c>
      <c r="F270">
        <f t="shared" si="14"/>
        <v>0</v>
      </c>
    </row>
    <row r="271" spans="1:6" x14ac:dyDescent="0.3">
      <c r="A271" s="4" t="s">
        <v>268</v>
      </c>
      <c r="B271" s="5">
        <v>12.13</v>
      </c>
      <c r="D271">
        <f t="shared" si="12"/>
        <v>1318462.8697572211</v>
      </c>
      <c r="E271">
        <f t="shared" si="13"/>
        <v>2636925.7395144422</v>
      </c>
      <c r="F271">
        <f t="shared" si="14"/>
        <v>2956.784831717544</v>
      </c>
    </row>
    <row r="272" spans="1:6" x14ac:dyDescent="0.3">
      <c r="A272" s="4" t="s">
        <v>269</v>
      </c>
      <c r="B272" s="5">
        <v>11.13</v>
      </c>
      <c r="D272">
        <f t="shared" si="12"/>
        <v>0</v>
      </c>
      <c r="E272">
        <f t="shared" si="13"/>
        <v>0</v>
      </c>
      <c r="F272">
        <f t="shared" si="14"/>
        <v>0</v>
      </c>
    </row>
    <row r="273" spans="1:6" x14ac:dyDescent="0.3">
      <c r="A273" s="4" t="s">
        <v>270</v>
      </c>
      <c r="B273" s="5">
        <v>11.13</v>
      </c>
      <c r="D273">
        <f t="shared" si="12"/>
        <v>0</v>
      </c>
      <c r="E273">
        <f t="shared" si="13"/>
        <v>0</v>
      </c>
      <c r="F273">
        <f t="shared" si="14"/>
        <v>0</v>
      </c>
    </row>
    <row r="274" spans="1:6" x14ac:dyDescent="0.3">
      <c r="A274" s="4" t="s">
        <v>271</v>
      </c>
      <c r="B274" s="5">
        <v>10.14</v>
      </c>
      <c r="D274">
        <f t="shared" si="12"/>
        <v>0</v>
      </c>
      <c r="E274">
        <f t="shared" si="13"/>
        <v>0</v>
      </c>
      <c r="F274">
        <f t="shared" si="14"/>
        <v>0</v>
      </c>
    </row>
    <row r="275" spans="1:6" x14ac:dyDescent="0.3">
      <c r="A275" s="4" t="s">
        <v>272</v>
      </c>
      <c r="B275" s="5">
        <v>9.14</v>
      </c>
      <c r="D275">
        <f t="shared" si="12"/>
        <v>0</v>
      </c>
      <c r="E275">
        <f t="shared" si="13"/>
        <v>0</v>
      </c>
      <c r="F275">
        <f t="shared" si="14"/>
        <v>0</v>
      </c>
    </row>
    <row r="276" spans="1:6" x14ac:dyDescent="0.3">
      <c r="A276" s="4" t="s">
        <v>273</v>
      </c>
      <c r="B276" s="5">
        <v>9.14</v>
      </c>
      <c r="D276">
        <f t="shared" si="12"/>
        <v>0</v>
      </c>
      <c r="E276">
        <f t="shared" si="13"/>
        <v>0</v>
      </c>
      <c r="F276">
        <f t="shared" si="14"/>
        <v>0</v>
      </c>
    </row>
    <row r="277" spans="1:6" x14ac:dyDescent="0.3">
      <c r="A277" s="4" t="s">
        <v>274</v>
      </c>
      <c r="B277" s="5">
        <v>8.14</v>
      </c>
      <c r="D277">
        <f t="shared" si="12"/>
        <v>0</v>
      </c>
      <c r="E277">
        <f t="shared" si="13"/>
        <v>0</v>
      </c>
      <c r="F277">
        <f t="shared" si="14"/>
        <v>0</v>
      </c>
    </row>
    <row r="278" spans="1:6" x14ac:dyDescent="0.3">
      <c r="A278" s="4" t="s">
        <v>275</v>
      </c>
      <c r="B278" s="5">
        <v>7.39</v>
      </c>
      <c r="D278">
        <f t="shared" si="12"/>
        <v>0</v>
      </c>
      <c r="E278">
        <f t="shared" si="13"/>
        <v>0</v>
      </c>
      <c r="F278">
        <f t="shared" si="14"/>
        <v>0</v>
      </c>
    </row>
    <row r="279" spans="1:6" x14ac:dyDescent="0.3">
      <c r="A279" s="4" t="s">
        <v>276</v>
      </c>
      <c r="B279" s="5">
        <v>7.39</v>
      </c>
      <c r="D279">
        <f t="shared" si="12"/>
        <v>0</v>
      </c>
      <c r="E279">
        <f t="shared" si="13"/>
        <v>0</v>
      </c>
      <c r="F279">
        <f t="shared" si="14"/>
        <v>0</v>
      </c>
    </row>
    <row r="280" spans="1:6" x14ac:dyDescent="0.3">
      <c r="A280" s="4" t="s">
        <v>277</v>
      </c>
      <c r="B280" s="5">
        <v>6.89</v>
      </c>
      <c r="D280">
        <f t="shared" si="12"/>
        <v>0</v>
      </c>
      <c r="E280">
        <f t="shared" si="13"/>
        <v>0</v>
      </c>
      <c r="F280">
        <f t="shared" si="14"/>
        <v>0</v>
      </c>
    </row>
    <row r="281" spans="1:6" x14ac:dyDescent="0.3">
      <c r="A281" s="4" t="s">
        <v>278</v>
      </c>
      <c r="B281" s="5">
        <v>6.89</v>
      </c>
      <c r="D281">
        <f t="shared" si="12"/>
        <v>0</v>
      </c>
      <c r="E281">
        <f t="shared" si="13"/>
        <v>0</v>
      </c>
      <c r="F281">
        <f t="shared" si="14"/>
        <v>0</v>
      </c>
    </row>
    <row r="282" spans="1:6" x14ac:dyDescent="0.3">
      <c r="A282" s="4" t="s">
        <v>279</v>
      </c>
      <c r="B282" s="5">
        <v>6.64</v>
      </c>
      <c r="D282">
        <f t="shared" si="12"/>
        <v>0</v>
      </c>
      <c r="E282">
        <f t="shared" si="13"/>
        <v>0</v>
      </c>
      <c r="F282">
        <f t="shared" si="14"/>
        <v>0</v>
      </c>
    </row>
    <row r="283" spans="1:6" x14ac:dyDescent="0.3">
      <c r="A283" s="4" t="s">
        <v>280</v>
      </c>
      <c r="B283" s="5">
        <v>6.39</v>
      </c>
      <c r="D283">
        <f t="shared" si="12"/>
        <v>1478392.4158587719</v>
      </c>
      <c r="E283">
        <f t="shared" si="13"/>
        <v>2956784.8317175438</v>
      </c>
      <c r="F283">
        <f t="shared" si="14"/>
        <v>3145.7233824642954</v>
      </c>
    </row>
    <row r="284" spans="1:6" x14ac:dyDescent="0.3">
      <c r="A284" s="4" t="s">
        <v>281</v>
      </c>
      <c r="B284" s="5">
        <v>6.39</v>
      </c>
      <c r="D284">
        <f t="shared" si="12"/>
        <v>0</v>
      </c>
      <c r="E284">
        <f t="shared" si="13"/>
        <v>0</v>
      </c>
      <c r="F284">
        <f t="shared" si="14"/>
        <v>0</v>
      </c>
    </row>
    <row r="285" spans="1:6" x14ac:dyDescent="0.3">
      <c r="A285" s="4" t="s">
        <v>282</v>
      </c>
      <c r="B285" s="5">
        <v>6.39</v>
      </c>
      <c r="D285">
        <f t="shared" si="12"/>
        <v>0</v>
      </c>
      <c r="E285">
        <f t="shared" si="13"/>
        <v>0</v>
      </c>
      <c r="F285">
        <f t="shared" si="14"/>
        <v>0</v>
      </c>
    </row>
    <row r="286" spans="1:6" x14ac:dyDescent="0.3">
      <c r="A286" s="4" t="s">
        <v>283</v>
      </c>
      <c r="B286" s="5">
        <v>6.39</v>
      </c>
      <c r="D286">
        <f t="shared" si="12"/>
        <v>0</v>
      </c>
      <c r="E286">
        <f t="shared" si="13"/>
        <v>0</v>
      </c>
      <c r="F286">
        <f t="shared" si="14"/>
        <v>0</v>
      </c>
    </row>
    <row r="287" spans="1:6" x14ac:dyDescent="0.3">
      <c r="A287" s="4" t="s">
        <v>284</v>
      </c>
      <c r="B287" s="5">
        <v>6.39</v>
      </c>
      <c r="D287">
        <f t="shared" si="12"/>
        <v>0</v>
      </c>
      <c r="E287">
        <f t="shared" si="13"/>
        <v>0</v>
      </c>
      <c r="F287">
        <f t="shared" si="14"/>
        <v>0</v>
      </c>
    </row>
    <row r="288" spans="1:6" x14ac:dyDescent="0.3">
      <c r="A288" s="4" t="s">
        <v>285</v>
      </c>
      <c r="B288" s="5">
        <v>6.39</v>
      </c>
      <c r="D288">
        <f t="shared" si="12"/>
        <v>0</v>
      </c>
      <c r="E288">
        <f t="shared" si="13"/>
        <v>0</v>
      </c>
      <c r="F288">
        <f t="shared" si="14"/>
        <v>0</v>
      </c>
    </row>
    <row r="289" spans="1:6" x14ac:dyDescent="0.3">
      <c r="A289" s="4" t="s">
        <v>286</v>
      </c>
      <c r="B289" s="5">
        <v>6.39</v>
      </c>
      <c r="D289">
        <f t="shared" si="12"/>
        <v>0</v>
      </c>
      <c r="E289">
        <f t="shared" si="13"/>
        <v>0</v>
      </c>
      <c r="F289">
        <f t="shared" si="14"/>
        <v>0</v>
      </c>
    </row>
    <row r="290" spans="1:6" x14ac:dyDescent="0.3">
      <c r="A290" s="4" t="s">
        <v>287</v>
      </c>
      <c r="B290" s="5">
        <v>6.4</v>
      </c>
      <c r="D290">
        <f t="shared" si="12"/>
        <v>0</v>
      </c>
      <c r="E290">
        <f t="shared" si="13"/>
        <v>0</v>
      </c>
      <c r="F290">
        <f t="shared" si="14"/>
        <v>0</v>
      </c>
    </row>
    <row r="291" spans="1:6" x14ac:dyDescent="0.3">
      <c r="A291" s="4" t="s">
        <v>288</v>
      </c>
      <c r="B291" s="5">
        <v>6.4</v>
      </c>
      <c r="D291">
        <f t="shared" si="12"/>
        <v>0</v>
      </c>
      <c r="E291">
        <f t="shared" si="13"/>
        <v>0</v>
      </c>
      <c r="F291">
        <f t="shared" si="14"/>
        <v>0</v>
      </c>
    </row>
    <row r="292" spans="1:6" x14ac:dyDescent="0.3">
      <c r="A292" s="4" t="s">
        <v>289</v>
      </c>
      <c r="B292" s="5">
        <v>6.4</v>
      </c>
      <c r="D292">
        <f t="shared" si="12"/>
        <v>0</v>
      </c>
      <c r="E292">
        <f t="shared" si="13"/>
        <v>0</v>
      </c>
      <c r="F292">
        <f t="shared" si="14"/>
        <v>0</v>
      </c>
    </row>
    <row r="293" spans="1:6" x14ac:dyDescent="0.3">
      <c r="A293" s="4" t="s">
        <v>290</v>
      </c>
      <c r="B293" s="5">
        <v>6.4</v>
      </c>
      <c r="D293">
        <f t="shared" si="12"/>
        <v>0</v>
      </c>
      <c r="E293">
        <f t="shared" si="13"/>
        <v>0</v>
      </c>
      <c r="F293">
        <f t="shared" si="14"/>
        <v>0</v>
      </c>
    </row>
    <row r="294" spans="1:6" x14ac:dyDescent="0.3">
      <c r="A294" s="4" t="s">
        <v>291</v>
      </c>
      <c r="B294" s="5">
        <v>6.4</v>
      </c>
      <c r="D294">
        <f t="shared" si="12"/>
        <v>0</v>
      </c>
      <c r="E294">
        <f t="shared" si="13"/>
        <v>0</v>
      </c>
      <c r="F294">
        <f t="shared" si="14"/>
        <v>0</v>
      </c>
    </row>
    <row r="295" spans="1:6" x14ac:dyDescent="0.3">
      <c r="A295" s="4" t="s">
        <v>292</v>
      </c>
      <c r="B295" s="5">
        <v>6.4</v>
      </c>
      <c r="D295">
        <f t="shared" si="12"/>
        <v>1572861.6912321476</v>
      </c>
      <c r="E295">
        <f t="shared" si="13"/>
        <v>3145723.3824642953</v>
      </c>
      <c r="F295">
        <f t="shared" si="14"/>
        <v>3347.0496789420104</v>
      </c>
    </row>
    <row r="296" spans="1:6" x14ac:dyDescent="0.3">
      <c r="A296" s="4" t="s">
        <v>293</v>
      </c>
      <c r="B296" s="5">
        <v>6.4</v>
      </c>
      <c r="D296">
        <f t="shared" si="12"/>
        <v>0</v>
      </c>
      <c r="E296">
        <f t="shared" si="13"/>
        <v>0</v>
      </c>
      <c r="F296">
        <f t="shared" si="14"/>
        <v>0</v>
      </c>
    </row>
    <row r="297" spans="1:6" x14ac:dyDescent="0.3">
      <c r="A297" s="4" t="s">
        <v>294</v>
      </c>
      <c r="B297" s="5">
        <v>6.4</v>
      </c>
      <c r="D297">
        <f t="shared" si="12"/>
        <v>0</v>
      </c>
      <c r="E297">
        <f t="shared" si="13"/>
        <v>0</v>
      </c>
      <c r="F297">
        <f t="shared" si="14"/>
        <v>0</v>
      </c>
    </row>
    <row r="298" spans="1:6" x14ac:dyDescent="0.3">
      <c r="A298" s="4" t="s">
        <v>295</v>
      </c>
      <c r="B298" s="5">
        <v>6.4</v>
      </c>
      <c r="D298">
        <f t="shared" si="12"/>
        <v>0</v>
      </c>
      <c r="E298">
        <f t="shared" si="13"/>
        <v>0</v>
      </c>
      <c r="F298">
        <f t="shared" si="14"/>
        <v>0</v>
      </c>
    </row>
    <row r="299" spans="1:6" x14ac:dyDescent="0.3">
      <c r="A299" s="4" t="s">
        <v>296</v>
      </c>
      <c r="B299" s="5">
        <v>6.4</v>
      </c>
      <c r="D299">
        <f t="shared" si="12"/>
        <v>0</v>
      </c>
      <c r="E299">
        <f t="shared" si="13"/>
        <v>0</v>
      </c>
      <c r="F299">
        <f t="shared" si="14"/>
        <v>0</v>
      </c>
    </row>
    <row r="300" spans="1:6" x14ac:dyDescent="0.3">
      <c r="A300" s="4" t="s">
        <v>297</v>
      </c>
      <c r="B300" s="5">
        <v>5.9</v>
      </c>
      <c r="D300">
        <f t="shared" si="12"/>
        <v>0</v>
      </c>
      <c r="E300">
        <f t="shared" si="13"/>
        <v>0</v>
      </c>
      <c r="F300">
        <f t="shared" si="14"/>
        <v>0</v>
      </c>
    </row>
    <row r="301" spans="1:6" x14ac:dyDescent="0.3">
      <c r="A301" s="4" t="s">
        <v>298</v>
      </c>
      <c r="B301" s="5">
        <v>5.4</v>
      </c>
      <c r="D301">
        <f t="shared" si="12"/>
        <v>0</v>
      </c>
      <c r="E301">
        <f t="shared" si="13"/>
        <v>0</v>
      </c>
      <c r="F301">
        <f t="shared" si="14"/>
        <v>0</v>
      </c>
    </row>
    <row r="302" spans="1:6" x14ac:dyDescent="0.3">
      <c r="A302" s="4" t="s">
        <v>299</v>
      </c>
      <c r="B302" s="5">
        <v>4.9000000000000004</v>
      </c>
      <c r="D302">
        <f t="shared" si="12"/>
        <v>0</v>
      </c>
      <c r="E302">
        <f t="shared" si="13"/>
        <v>0</v>
      </c>
      <c r="F302">
        <f t="shared" si="14"/>
        <v>0</v>
      </c>
    </row>
    <row r="303" spans="1:6" x14ac:dyDescent="0.3">
      <c r="A303" s="4" t="s">
        <v>300</v>
      </c>
      <c r="B303" s="5">
        <v>4.9000000000000004</v>
      </c>
      <c r="D303">
        <f t="shared" si="12"/>
        <v>0</v>
      </c>
      <c r="E303">
        <f t="shared" si="13"/>
        <v>0</v>
      </c>
      <c r="F303">
        <f t="shared" si="14"/>
        <v>0</v>
      </c>
    </row>
    <row r="304" spans="1:6" x14ac:dyDescent="0.3">
      <c r="A304" s="4" t="s">
        <v>301</v>
      </c>
      <c r="B304" s="5">
        <v>4.4000000000000004</v>
      </c>
      <c r="D304">
        <f t="shared" si="12"/>
        <v>0</v>
      </c>
      <c r="E304">
        <f t="shared" si="13"/>
        <v>0</v>
      </c>
      <c r="F304">
        <f t="shared" si="14"/>
        <v>0</v>
      </c>
    </row>
    <row r="305" spans="1:6" x14ac:dyDescent="0.3">
      <c r="A305" s="4" t="s">
        <v>302</v>
      </c>
      <c r="B305" s="5">
        <v>4.4000000000000004</v>
      </c>
      <c r="D305">
        <f t="shared" si="12"/>
        <v>0</v>
      </c>
      <c r="E305">
        <f t="shared" si="13"/>
        <v>0</v>
      </c>
      <c r="F305">
        <f t="shared" si="14"/>
        <v>0</v>
      </c>
    </row>
    <row r="306" spans="1:6" x14ac:dyDescent="0.3">
      <c r="A306" s="4" t="s">
        <v>303</v>
      </c>
      <c r="B306" s="5">
        <v>4.1500000000000004</v>
      </c>
      <c r="D306">
        <f t="shared" si="12"/>
        <v>0</v>
      </c>
      <c r="E306">
        <f t="shared" si="13"/>
        <v>0</v>
      </c>
      <c r="F306">
        <f t="shared" si="14"/>
        <v>0</v>
      </c>
    </row>
    <row r="307" spans="1:6" x14ac:dyDescent="0.3">
      <c r="A307" s="4" t="s">
        <v>304</v>
      </c>
      <c r="B307" s="5">
        <v>3.65</v>
      </c>
      <c r="D307">
        <f t="shared" si="12"/>
        <v>1673524.8394710051</v>
      </c>
      <c r="E307">
        <f t="shared" si="13"/>
        <v>3347049.6789420103</v>
      </c>
      <c r="F307">
        <f t="shared" si="14"/>
        <v>3469.2169922233938</v>
      </c>
    </row>
    <row r="308" spans="1:6" x14ac:dyDescent="0.3">
      <c r="A308" s="4" t="s">
        <v>305</v>
      </c>
      <c r="B308" s="5">
        <v>3.65</v>
      </c>
      <c r="D308">
        <f t="shared" si="12"/>
        <v>0</v>
      </c>
      <c r="E308">
        <f t="shared" si="13"/>
        <v>0</v>
      </c>
      <c r="F308">
        <f t="shared" si="14"/>
        <v>0</v>
      </c>
    </row>
    <row r="309" spans="1:6" x14ac:dyDescent="0.3">
      <c r="A309" s="4" t="s">
        <v>306</v>
      </c>
      <c r="B309" s="5">
        <v>2.9</v>
      </c>
      <c r="D309">
        <f t="shared" si="12"/>
        <v>0</v>
      </c>
      <c r="E309">
        <f t="shared" si="13"/>
        <v>0</v>
      </c>
      <c r="F309">
        <f t="shared" si="14"/>
        <v>0</v>
      </c>
    </row>
    <row r="310" spans="1:6" x14ac:dyDescent="0.3">
      <c r="A310" s="4" t="s">
        <v>307</v>
      </c>
      <c r="B310" s="5">
        <v>2.15</v>
      </c>
      <c r="D310">
        <f t="shared" si="12"/>
        <v>0</v>
      </c>
      <c r="E310">
        <f t="shared" si="13"/>
        <v>0</v>
      </c>
      <c r="F310">
        <f t="shared" si="14"/>
        <v>0</v>
      </c>
    </row>
    <row r="311" spans="1:6" x14ac:dyDescent="0.3">
      <c r="A311" s="4" t="s">
        <v>308</v>
      </c>
      <c r="B311" s="5">
        <v>2.15</v>
      </c>
      <c r="D311">
        <f t="shared" si="12"/>
        <v>0</v>
      </c>
      <c r="E311">
        <f t="shared" si="13"/>
        <v>0</v>
      </c>
      <c r="F311">
        <f t="shared" si="14"/>
        <v>0</v>
      </c>
    </row>
    <row r="312" spans="1:6" x14ac:dyDescent="0.3">
      <c r="A312" s="4" t="s">
        <v>309</v>
      </c>
      <c r="B312" s="5">
        <v>1.9</v>
      </c>
      <c r="D312">
        <f t="shared" si="12"/>
        <v>0</v>
      </c>
      <c r="E312">
        <f t="shared" si="13"/>
        <v>0</v>
      </c>
      <c r="F312">
        <f t="shared" si="14"/>
        <v>0</v>
      </c>
    </row>
    <row r="313" spans="1:6" x14ac:dyDescent="0.3">
      <c r="A313" s="4" t="s">
        <v>310</v>
      </c>
      <c r="B313" s="5">
        <v>1.9</v>
      </c>
      <c r="D313">
        <f t="shared" si="12"/>
        <v>0</v>
      </c>
      <c r="E313">
        <f t="shared" si="13"/>
        <v>0</v>
      </c>
      <c r="F313">
        <f t="shared" si="14"/>
        <v>0</v>
      </c>
    </row>
    <row r="314" spans="1:6" x14ac:dyDescent="0.3">
      <c r="A314" s="4" t="s">
        <v>311</v>
      </c>
      <c r="B314" s="5">
        <v>1.9</v>
      </c>
      <c r="D314">
        <f t="shared" si="12"/>
        <v>0</v>
      </c>
      <c r="E314">
        <f t="shared" si="13"/>
        <v>0</v>
      </c>
      <c r="F314">
        <f t="shared" si="14"/>
        <v>0</v>
      </c>
    </row>
    <row r="315" spans="1:6" x14ac:dyDescent="0.3">
      <c r="A315" s="4" t="s">
        <v>312</v>
      </c>
      <c r="B315" s="5">
        <v>1.9</v>
      </c>
      <c r="D315">
        <f t="shared" si="12"/>
        <v>0</v>
      </c>
      <c r="E315">
        <f t="shared" si="13"/>
        <v>0</v>
      </c>
      <c r="F315">
        <f t="shared" si="14"/>
        <v>0</v>
      </c>
    </row>
    <row r="316" spans="1:6" x14ac:dyDescent="0.3">
      <c r="A316" s="4" t="s">
        <v>313</v>
      </c>
      <c r="B316" s="5">
        <v>1.9</v>
      </c>
      <c r="D316">
        <f t="shared" si="12"/>
        <v>0</v>
      </c>
      <c r="E316">
        <f t="shared" si="13"/>
        <v>0</v>
      </c>
      <c r="F316">
        <f t="shared" si="14"/>
        <v>0</v>
      </c>
    </row>
    <row r="317" spans="1:6" x14ac:dyDescent="0.3">
      <c r="A317" s="4" t="s">
        <v>314</v>
      </c>
      <c r="B317" s="5">
        <v>1.9</v>
      </c>
      <c r="D317">
        <f t="shared" si="12"/>
        <v>0</v>
      </c>
      <c r="E317">
        <f t="shared" si="13"/>
        <v>0</v>
      </c>
      <c r="F317">
        <f t="shared" si="14"/>
        <v>0</v>
      </c>
    </row>
    <row r="318" spans="1:6" x14ac:dyDescent="0.3">
      <c r="A318" s="4" t="s">
        <v>315</v>
      </c>
      <c r="B318" s="5">
        <v>1.9</v>
      </c>
      <c r="D318">
        <f t="shared" si="12"/>
        <v>0</v>
      </c>
      <c r="E318">
        <f t="shared" si="13"/>
        <v>0</v>
      </c>
      <c r="F318">
        <f t="shared" si="14"/>
        <v>0</v>
      </c>
    </row>
    <row r="319" spans="1:6" x14ac:dyDescent="0.3">
      <c r="A319" s="4" t="s">
        <v>316</v>
      </c>
      <c r="B319" s="5">
        <v>2.65</v>
      </c>
      <c r="D319">
        <f t="shared" si="12"/>
        <v>1734608.4961116968</v>
      </c>
      <c r="E319">
        <f t="shared" si="13"/>
        <v>3469216.9922233936</v>
      </c>
      <c r="F319">
        <f t="shared" si="14"/>
        <v>3561.1512425173137</v>
      </c>
    </row>
    <row r="320" spans="1:6" x14ac:dyDescent="0.3">
      <c r="A320" s="4" t="s">
        <v>317</v>
      </c>
      <c r="B320" s="5">
        <v>2.65</v>
      </c>
      <c r="D320">
        <f t="shared" si="12"/>
        <v>0</v>
      </c>
      <c r="E320">
        <f t="shared" si="13"/>
        <v>0</v>
      </c>
      <c r="F320">
        <f t="shared" si="14"/>
        <v>0</v>
      </c>
    </row>
    <row r="321" spans="1:6" x14ac:dyDescent="0.3">
      <c r="A321" s="4" t="s">
        <v>318</v>
      </c>
      <c r="B321" s="5">
        <v>3.4</v>
      </c>
      <c r="D321">
        <f t="shared" si="12"/>
        <v>0</v>
      </c>
      <c r="E321">
        <f t="shared" si="13"/>
        <v>0</v>
      </c>
      <c r="F321">
        <f t="shared" si="14"/>
        <v>0</v>
      </c>
    </row>
    <row r="322" spans="1:6" x14ac:dyDescent="0.3">
      <c r="A322" s="4" t="s">
        <v>319</v>
      </c>
      <c r="B322" s="5">
        <v>4.1500000000000004</v>
      </c>
      <c r="D322">
        <f t="shared" si="12"/>
        <v>0</v>
      </c>
      <c r="E322">
        <f t="shared" si="13"/>
        <v>0</v>
      </c>
      <c r="F322">
        <f t="shared" si="14"/>
        <v>0</v>
      </c>
    </row>
    <row r="323" spans="1:6" x14ac:dyDescent="0.3">
      <c r="A323" s="4" t="s">
        <v>320</v>
      </c>
      <c r="B323" s="5">
        <v>4.1500000000000004</v>
      </c>
      <c r="D323">
        <f t="shared" si="12"/>
        <v>0</v>
      </c>
      <c r="E323">
        <f t="shared" si="13"/>
        <v>0</v>
      </c>
      <c r="F323">
        <f t="shared" si="14"/>
        <v>0</v>
      </c>
    </row>
    <row r="324" spans="1:6" x14ac:dyDescent="0.3">
      <c r="A324" s="4" t="s">
        <v>321</v>
      </c>
      <c r="B324" s="5">
        <v>5.15</v>
      </c>
      <c r="D324">
        <f t="shared" si="12"/>
        <v>0</v>
      </c>
      <c r="E324">
        <f t="shared" si="13"/>
        <v>0</v>
      </c>
      <c r="F324">
        <f t="shared" si="14"/>
        <v>0</v>
      </c>
    </row>
    <row r="325" spans="1:6" x14ac:dyDescent="0.3">
      <c r="A325" s="4" t="s">
        <v>322</v>
      </c>
      <c r="B325" s="5">
        <v>6.15</v>
      </c>
      <c r="D325">
        <f t="shared" si="12"/>
        <v>0</v>
      </c>
      <c r="E325">
        <f t="shared" si="13"/>
        <v>0</v>
      </c>
      <c r="F325">
        <f t="shared" si="14"/>
        <v>0</v>
      </c>
    </row>
    <row r="326" spans="1:6" x14ac:dyDescent="0.3">
      <c r="A326" s="4" t="s">
        <v>323</v>
      </c>
      <c r="B326" s="5">
        <v>7.65</v>
      </c>
      <c r="D326">
        <f t="shared" si="12"/>
        <v>0</v>
      </c>
      <c r="E326">
        <f t="shared" si="13"/>
        <v>0</v>
      </c>
      <c r="F326">
        <f t="shared" si="14"/>
        <v>0</v>
      </c>
    </row>
    <row r="327" spans="1:6" x14ac:dyDescent="0.3">
      <c r="A327" s="4" t="s">
        <v>324</v>
      </c>
      <c r="B327" s="5">
        <v>7.65</v>
      </c>
      <c r="D327">
        <f t="shared" ref="D327:D390" si="15">D339/((100+B327)/100)</f>
        <v>0</v>
      </c>
      <c r="E327">
        <f t="shared" ref="E327:E390" si="16">E339/((100+B327)/100)</f>
        <v>0</v>
      </c>
      <c r="F327">
        <f t="shared" ref="F327:F390" si="17">F339/((100+B339)/100)</f>
        <v>0</v>
      </c>
    </row>
    <row r="328" spans="1:6" x14ac:dyDescent="0.3">
      <c r="A328" s="4" t="s">
        <v>325</v>
      </c>
      <c r="B328" s="5">
        <v>9.15</v>
      </c>
      <c r="D328">
        <f t="shared" si="15"/>
        <v>0</v>
      </c>
      <c r="E328">
        <f t="shared" si="16"/>
        <v>0</v>
      </c>
      <c r="F328">
        <f t="shared" si="17"/>
        <v>0</v>
      </c>
    </row>
    <row r="329" spans="1:6" x14ac:dyDescent="0.3">
      <c r="A329" s="4" t="s">
        <v>326</v>
      </c>
      <c r="B329" s="5">
        <v>9.15</v>
      </c>
      <c r="D329">
        <f t="shared" si="15"/>
        <v>0</v>
      </c>
      <c r="E329">
        <f t="shared" si="16"/>
        <v>0</v>
      </c>
      <c r="F329">
        <f t="shared" si="17"/>
        <v>0</v>
      </c>
    </row>
    <row r="330" spans="1:6" x14ac:dyDescent="0.3">
      <c r="A330" s="4" t="s">
        <v>327</v>
      </c>
      <c r="B330" s="5">
        <v>10.65</v>
      </c>
      <c r="D330">
        <f t="shared" si="15"/>
        <v>0</v>
      </c>
      <c r="E330">
        <f t="shared" si="16"/>
        <v>0</v>
      </c>
      <c r="F330">
        <f t="shared" si="17"/>
        <v>0</v>
      </c>
    </row>
    <row r="331" spans="1:6" x14ac:dyDescent="0.3">
      <c r="A331" s="4" t="s">
        <v>328</v>
      </c>
      <c r="B331" s="5">
        <v>11.65</v>
      </c>
      <c r="D331">
        <f t="shared" si="15"/>
        <v>1780575.6212586567</v>
      </c>
      <c r="E331">
        <f t="shared" si="16"/>
        <v>3561151.2425173135</v>
      </c>
      <c r="F331">
        <f t="shared" si="17"/>
        <v>3976.0253622705809</v>
      </c>
    </row>
    <row r="332" spans="1:6" x14ac:dyDescent="0.3">
      <c r="A332" s="4" t="s">
        <v>329</v>
      </c>
      <c r="B332" s="5">
        <v>11.65</v>
      </c>
      <c r="D332">
        <f t="shared" si="15"/>
        <v>0</v>
      </c>
      <c r="E332">
        <f t="shared" si="16"/>
        <v>0</v>
      </c>
      <c r="F332">
        <f t="shared" si="17"/>
        <v>0</v>
      </c>
    </row>
    <row r="333" spans="1:6" x14ac:dyDescent="0.3">
      <c r="A333" s="4" t="s">
        <v>330</v>
      </c>
      <c r="B333" s="5">
        <v>12.65</v>
      </c>
      <c r="D333">
        <f t="shared" si="15"/>
        <v>0</v>
      </c>
      <c r="E333">
        <f t="shared" si="16"/>
        <v>0</v>
      </c>
      <c r="F333">
        <f t="shared" si="17"/>
        <v>0</v>
      </c>
    </row>
    <row r="334" spans="1:6" x14ac:dyDescent="0.3">
      <c r="A334" s="4" t="s">
        <v>331</v>
      </c>
      <c r="B334" s="5">
        <v>13.15</v>
      </c>
      <c r="D334">
        <f t="shared" si="15"/>
        <v>0</v>
      </c>
      <c r="E334">
        <f t="shared" si="16"/>
        <v>0</v>
      </c>
      <c r="F334">
        <f t="shared" si="17"/>
        <v>0</v>
      </c>
    </row>
    <row r="335" spans="1:6" x14ac:dyDescent="0.3">
      <c r="A335" s="4" t="s">
        <v>332</v>
      </c>
      <c r="B335" s="5">
        <v>13.15</v>
      </c>
      <c r="D335">
        <f t="shared" si="15"/>
        <v>0</v>
      </c>
      <c r="E335">
        <f t="shared" si="16"/>
        <v>0</v>
      </c>
      <c r="F335">
        <f t="shared" si="17"/>
        <v>0</v>
      </c>
    </row>
    <row r="336" spans="1:6" x14ac:dyDescent="0.3">
      <c r="A336" s="4" t="s">
        <v>333</v>
      </c>
      <c r="B336" s="5">
        <v>13.65</v>
      </c>
      <c r="D336">
        <f t="shared" si="15"/>
        <v>0</v>
      </c>
      <c r="E336">
        <f t="shared" si="16"/>
        <v>0</v>
      </c>
      <c r="F336">
        <f t="shared" si="17"/>
        <v>0</v>
      </c>
    </row>
    <row r="337" spans="1:6" x14ac:dyDescent="0.3">
      <c r="A337" s="4" t="s">
        <v>334</v>
      </c>
      <c r="B337" s="5">
        <v>13.65</v>
      </c>
      <c r="D337">
        <f t="shared" si="15"/>
        <v>0</v>
      </c>
      <c r="E337">
        <f t="shared" si="16"/>
        <v>0</v>
      </c>
      <c r="F337">
        <f t="shared" si="17"/>
        <v>0</v>
      </c>
    </row>
    <row r="338" spans="1:6" x14ac:dyDescent="0.3">
      <c r="A338" s="4" t="s">
        <v>335</v>
      </c>
      <c r="B338" s="5">
        <v>13.65</v>
      </c>
      <c r="D338">
        <f t="shared" si="15"/>
        <v>0</v>
      </c>
      <c r="E338">
        <f t="shared" si="16"/>
        <v>0</v>
      </c>
      <c r="F338">
        <f t="shared" si="17"/>
        <v>0</v>
      </c>
    </row>
    <row r="339" spans="1:6" x14ac:dyDescent="0.3">
      <c r="A339" s="4" t="s">
        <v>336</v>
      </c>
      <c r="B339" s="5">
        <v>13.65</v>
      </c>
      <c r="D339">
        <f t="shared" si="15"/>
        <v>0</v>
      </c>
      <c r="E339">
        <f t="shared" si="16"/>
        <v>0</v>
      </c>
      <c r="F339">
        <f t="shared" si="17"/>
        <v>0</v>
      </c>
    </row>
    <row r="340" spans="1:6" x14ac:dyDescent="0.3">
      <c r="A340" s="4" t="s">
        <v>337</v>
      </c>
      <c r="B340" s="5">
        <v>13.65</v>
      </c>
      <c r="D340">
        <f t="shared" si="15"/>
        <v>0</v>
      </c>
      <c r="E340">
        <f t="shared" si="16"/>
        <v>0</v>
      </c>
      <c r="F340">
        <f t="shared" si="17"/>
        <v>0</v>
      </c>
    </row>
    <row r="341" spans="1:6" x14ac:dyDescent="0.3">
      <c r="A341" s="4" t="s">
        <v>338</v>
      </c>
      <c r="B341" s="5">
        <v>13.65</v>
      </c>
      <c r="D341">
        <f t="shared" si="15"/>
        <v>0</v>
      </c>
      <c r="E341">
        <f t="shared" si="16"/>
        <v>0</v>
      </c>
      <c r="F341">
        <f t="shared" si="17"/>
        <v>0</v>
      </c>
    </row>
    <row r="342" spans="1:6" x14ac:dyDescent="0.3">
      <c r="A342" s="4" t="s">
        <v>339</v>
      </c>
      <c r="B342" s="5">
        <v>13.65</v>
      </c>
      <c r="D342">
        <f t="shared" si="15"/>
        <v>0</v>
      </c>
      <c r="E342">
        <f t="shared" si="16"/>
        <v>0</v>
      </c>
      <c r="F342">
        <f t="shared" si="17"/>
        <v>0</v>
      </c>
    </row>
    <row r="343" spans="1:6" x14ac:dyDescent="0.3">
      <c r="A343" s="4" t="s">
        <v>340</v>
      </c>
      <c r="B343" s="5">
        <v>13.65</v>
      </c>
      <c r="D343">
        <f t="shared" si="15"/>
        <v>1988012.6811352903</v>
      </c>
      <c r="E343">
        <f t="shared" si="16"/>
        <v>3976025.3622705806</v>
      </c>
      <c r="F343">
        <f>F355/((100+B355)/100)</f>
        <v>4518.7528242205153</v>
      </c>
    </row>
    <row r="344" spans="1:6" x14ac:dyDescent="0.3">
      <c r="A344" s="4" t="s">
        <v>341</v>
      </c>
      <c r="B344" s="5">
        <v>13.65</v>
      </c>
      <c r="E344">
        <f t="shared" si="16"/>
        <v>0</v>
      </c>
    </row>
    <row r="345" spans="1:6" x14ac:dyDescent="0.3">
      <c r="A345" s="4" t="s">
        <v>342</v>
      </c>
      <c r="B345" s="5">
        <v>13.65</v>
      </c>
      <c r="E345">
        <f t="shared" si="16"/>
        <v>0</v>
      </c>
    </row>
    <row r="346" spans="1:6" x14ac:dyDescent="0.3">
      <c r="A346" s="4" t="s">
        <v>343</v>
      </c>
      <c r="B346" s="5">
        <v>13.65</v>
      </c>
      <c r="E346">
        <f t="shared" si="16"/>
        <v>0</v>
      </c>
    </row>
    <row r="347" spans="1:6" x14ac:dyDescent="0.3">
      <c r="A347" s="4" t="s">
        <v>344</v>
      </c>
      <c r="B347" s="5">
        <v>13.65</v>
      </c>
      <c r="E347">
        <f t="shared" si="16"/>
        <v>0</v>
      </c>
    </row>
    <row r="348" spans="1:6" x14ac:dyDescent="0.3">
      <c r="A348" s="4" t="s">
        <v>345</v>
      </c>
      <c r="B348" s="5">
        <v>13.15</v>
      </c>
      <c r="E348">
        <f t="shared" si="16"/>
        <v>0</v>
      </c>
    </row>
    <row r="349" spans="1:6" x14ac:dyDescent="0.3">
      <c r="A349" s="4" t="s">
        <v>346</v>
      </c>
      <c r="B349" s="5">
        <v>12.65</v>
      </c>
      <c r="E349">
        <f t="shared" si="16"/>
        <v>0</v>
      </c>
    </row>
    <row r="350" spans="1:6" x14ac:dyDescent="0.3">
      <c r="A350" s="4" t="s">
        <v>347</v>
      </c>
      <c r="B350" s="5">
        <v>12.65</v>
      </c>
      <c r="E350">
        <f t="shared" si="16"/>
        <v>0</v>
      </c>
    </row>
    <row r="351" spans="1:6" x14ac:dyDescent="0.3">
      <c r="A351" s="4" t="s">
        <v>348</v>
      </c>
      <c r="B351" s="5">
        <v>12.15</v>
      </c>
      <c r="E351">
        <f t="shared" si="16"/>
        <v>0</v>
      </c>
    </row>
    <row r="352" spans="1:6" x14ac:dyDescent="0.3">
      <c r="A352" s="4" t="s">
        <v>349</v>
      </c>
      <c r="B352" s="5">
        <v>11.65</v>
      </c>
      <c r="E352">
        <f t="shared" si="16"/>
        <v>0</v>
      </c>
    </row>
    <row r="353" spans="1:6" x14ac:dyDescent="0.3">
      <c r="A353" s="4" t="s">
        <v>350</v>
      </c>
      <c r="B353" s="5">
        <v>11.65</v>
      </c>
      <c r="E353">
        <f t="shared" si="16"/>
        <v>0</v>
      </c>
    </row>
    <row r="354" spans="1:6" x14ac:dyDescent="0.3">
      <c r="A354" s="4" t="s">
        <v>351</v>
      </c>
      <c r="B354" s="5">
        <v>11.15</v>
      </c>
      <c r="E354">
        <f t="shared" si="16"/>
        <v>0</v>
      </c>
    </row>
    <row r="355" spans="1:6" x14ac:dyDescent="0.3">
      <c r="A355" s="4" t="s">
        <v>352</v>
      </c>
      <c r="B355" s="5">
        <v>10.65</v>
      </c>
      <c r="D355">
        <f>D367/((100+B355)/100)</f>
        <v>2259376.4121102574</v>
      </c>
      <c r="E355">
        <f t="shared" si="16"/>
        <v>4518752.8242205149</v>
      </c>
      <c r="F355">
        <v>5000</v>
      </c>
    </row>
    <row r="356" spans="1:6" x14ac:dyDescent="0.3">
      <c r="A356" s="4" t="s">
        <v>353</v>
      </c>
      <c r="B356" s="5">
        <v>10.65</v>
      </c>
    </row>
    <row r="357" spans="1:6" x14ac:dyDescent="0.3">
      <c r="A357" s="4" t="s">
        <v>354</v>
      </c>
      <c r="B357" s="5">
        <v>10.4</v>
      </c>
    </row>
    <row r="358" spans="1:6" x14ac:dyDescent="0.3">
      <c r="A358" s="4" t="s">
        <v>355</v>
      </c>
      <c r="B358" s="5">
        <v>10.4</v>
      </c>
    </row>
    <row r="359" spans="1:6" x14ac:dyDescent="0.3">
      <c r="A359" s="4" t="s">
        <v>356</v>
      </c>
      <c r="B359" s="5">
        <v>10.4</v>
      </c>
    </row>
    <row r="360" spans="1:6" x14ac:dyDescent="0.3">
      <c r="A360" s="4" t="s">
        <v>357</v>
      </c>
      <c r="B360" s="5">
        <v>10.4</v>
      </c>
    </row>
    <row r="361" spans="1:6" x14ac:dyDescent="0.3">
      <c r="A361" s="4" t="s">
        <v>358</v>
      </c>
      <c r="B361" s="5">
        <v>10.65</v>
      </c>
    </row>
    <row r="362" spans="1:6" x14ac:dyDescent="0.3">
      <c r="A362" s="4" t="s">
        <v>359</v>
      </c>
      <c r="B362" s="5">
        <v>10.65</v>
      </c>
    </row>
    <row r="363" spans="1:6" x14ac:dyDescent="0.3">
      <c r="A363" s="4" t="s">
        <v>360</v>
      </c>
      <c r="B363" s="5">
        <v>11.15</v>
      </c>
    </row>
    <row r="364" spans="1:6" x14ac:dyDescent="0.3">
      <c r="A364" s="4" t="s">
        <v>361</v>
      </c>
      <c r="B364" s="5">
        <v>12.15</v>
      </c>
    </row>
    <row r="365" spans="1:6" x14ac:dyDescent="0.3">
      <c r="A365" s="4" t="s">
        <v>362</v>
      </c>
      <c r="B365" s="5">
        <v>13.15</v>
      </c>
    </row>
    <row r="366" spans="1:6" x14ac:dyDescent="0.3">
      <c r="A366" s="4" t="s">
        <v>363</v>
      </c>
      <c r="B366" s="5">
        <v>13.15</v>
      </c>
    </row>
    <row r="367" spans="1:6" x14ac:dyDescent="0.3">
      <c r="A367" s="4" t="s">
        <v>364</v>
      </c>
      <c r="B367" s="5">
        <v>14.15</v>
      </c>
      <c r="D367">
        <v>2500000</v>
      </c>
      <c r="E367">
        <v>5000000</v>
      </c>
    </row>
    <row r="368" spans="1:6" x14ac:dyDescent="0.3">
      <c r="A368" s="4" t="s">
        <v>365</v>
      </c>
      <c r="B368" s="5">
        <v>14.15</v>
      </c>
    </row>
  </sheetData>
  <pageMargins left="0.7" right="0.7" top="0.75" bottom="0.75" header="0.3" footer="0.3"/>
  <pageSetup paperSize="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D368"/>
  <sheetViews>
    <sheetView workbookViewId="0">
      <selection activeCell="C3" sqref="C3"/>
    </sheetView>
  </sheetViews>
  <sheetFormatPr defaultRowHeight="14.4" x14ac:dyDescent="0.3"/>
  <cols>
    <col min="1" max="1" width="9" customWidth="1"/>
    <col min="2" max="2" width="11" customWidth="1"/>
    <col min="3" max="3" width="9" customWidth="1"/>
  </cols>
  <sheetData>
    <row r="1" spans="1:4" x14ac:dyDescent="0.3">
      <c r="A1" s="6" t="s">
        <v>369</v>
      </c>
      <c r="B1" s="1" t="s">
        <v>368</v>
      </c>
      <c r="C1" t="s">
        <v>376</v>
      </c>
      <c r="D1" t="s">
        <v>375</v>
      </c>
    </row>
    <row r="2" spans="1:4" x14ac:dyDescent="0.3">
      <c r="A2" s="6" t="s">
        <v>367</v>
      </c>
      <c r="C2">
        <f>STDEV(C20:C367)</f>
        <v>5.1068620320054272E-3</v>
      </c>
      <c r="D2">
        <f>STDEV(C44:C367)</f>
        <v>4.5915989976100385E-3</v>
      </c>
    </row>
    <row r="3" spans="1:4" x14ac:dyDescent="0.3">
      <c r="C3">
        <f>C2*SQRT(12)</f>
        <v>1.7690689013355673E-2</v>
      </c>
      <c r="D3">
        <f>D2*SQRT(12)</f>
        <v>1.5905765503685828E-2</v>
      </c>
    </row>
    <row r="4" spans="1:4" ht="30.6" x14ac:dyDescent="0.3">
      <c r="A4" s="2" t="s">
        <v>0</v>
      </c>
      <c r="B4" s="3" t="s">
        <v>1</v>
      </c>
    </row>
    <row r="5" spans="1:4" x14ac:dyDescent="0.3">
      <c r="A5" s="4" t="s">
        <v>2</v>
      </c>
      <c r="B5" s="5">
        <v>139.65965746000001</v>
      </c>
    </row>
    <row r="6" spans="1:4" x14ac:dyDescent="0.3">
      <c r="A6" s="4" t="s">
        <v>3</v>
      </c>
      <c r="B6" s="5">
        <v>144.18081491000001</v>
      </c>
    </row>
    <row r="7" spans="1:4" x14ac:dyDescent="0.3">
      <c r="A7" s="4" t="s">
        <v>4</v>
      </c>
      <c r="B7" s="5">
        <v>150.53572213999999</v>
      </c>
    </row>
    <row r="8" spans="1:4" x14ac:dyDescent="0.3">
      <c r="A8" s="4" t="s">
        <v>5</v>
      </c>
      <c r="B8" s="5">
        <v>156.88765737</v>
      </c>
    </row>
    <row r="9" spans="1:4" x14ac:dyDescent="0.3">
      <c r="A9" s="4" t="s">
        <v>6</v>
      </c>
      <c r="B9" s="5">
        <v>163.58639142999999</v>
      </c>
    </row>
    <row r="10" spans="1:4" x14ac:dyDescent="0.3">
      <c r="A10" s="4" t="s">
        <v>7</v>
      </c>
      <c r="B10" s="5">
        <v>170.21045788999999</v>
      </c>
    </row>
    <row r="11" spans="1:4" x14ac:dyDescent="0.3">
      <c r="A11" s="4" t="s">
        <v>8</v>
      </c>
      <c r="B11" s="5">
        <v>177.03312109999999</v>
      </c>
    </row>
    <row r="12" spans="1:4" x14ac:dyDescent="0.3">
      <c r="A12" s="4" t="s">
        <v>9</v>
      </c>
      <c r="B12" s="5">
        <v>183.78459562</v>
      </c>
    </row>
    <row r="13" spans="1:4" x14ac:dyDescent="0.3">
      <c r="A13" s="4" t="s">
        <v>10</v>
      </c>
      <c r="B13" s="5">
        <v>189.76219884</v>
      </c>
    </row>
    <row r="14" spans="1:4" x14ac:dyDescent="0.3">
      <c r="A14" s="4" t="s">
        <v>11</v>
      </c>
      <c r="B14" s="5">
        <v>195.57229692000001</v>
      </c>
    </row>
    <row r="15" spans="1:4" x14ac:dyDescent="0.3">
      <c r="A15" s="4" t="s">
        <v>12</v>
      </c>
      <c r="B15" s="5">
        <v>201.12256923000001</v>
      </c>
    </row>
    <row r="16" spans="1:4" x14ac:dyDescent="0.3">
      <c r="A16" s="4" t="s">
        <v>13</v>
      </c>
      <c r="B16" s="5">
        <v>206.60409802999999</v>
      </c>
    </row>
    <row r="17" spans="1:3" x14ac:dyDescent="0.3">
      <c r="A17" s="4" t="s">
        <v>14</v>
      </c>
      <c r="B17" s="5">
        <v>211.89182105</v>
      </c>
    </row>
    <row r="18" spans="1:3" x14ac:dyDescent="0.3">
      <c r="A18" s="4" t="s">
        <v>15</v>
      </c>
      <c r="B18" s="5">
        <v>216.77807647</v>
      </c>
    </row>
    <row r="19" spans="1:3" x14ac:dyDescent="0.3">
      <c r="A19" s="4" t="s">
        <v>16</v>
      </c>
      <c r="B19" s="5">
        <v>221.54193346</v>
      </c>
    </row>
    <row r="20" spans="1:3" x14ac:dyDescent="0.3">
      <c r="A20" s="4" t="s">
        <v>17</v>
      </c>
      <c r="B20" s="5">
        <v>226.04650142</v>
      </c>
      <c r="C20">
        <f>(B20/B19)-1</f>
        <v>2.0332800610920465E-2</v>
      </c>
    </row>
    <row r="21" spans="1:3" x14ac:dyDescent="0.3">
      <c r="A21" s="4" t="s">
        <v>18</v>
      </c>
      <c r="B21" s="5">
        <v>230.57721100000001</v>
      </c>
      <c r="C21">
        <f t="shared" ref="C21:C84" si="0">(B21/B20)-1</f>
        <v>2.0043263450389981E-2</v>
      </c>
    </row>
    <row r="22" spans="1:3" x14ac:dyDescent="0.3">
      <c r="A22" s="4" t="s">
        <v>19</v>
      </c>
      <c r="B22" s="5">
        <v>235.09432296</v>
      </c>
      <c r="C22">
        <f t="shared" si="0"/>
        <v>1.9590452761613086E-2</v>
      </c>
    </row>
    <row r="23" spans="1:3" x14ac:dyDescent="0.3">
      <c r="A23" s="4" t="s">
        <v>20</v>
      </c>
      <c r="B23" s="5">
        <v>239.59211199999999</v>
      </c>
      <c r="C23">
        <f t="shared" si="0"/>
        <v>1.9131848797409035E-2</v>
      </c>
    </row>
    <row r="24" spans="1:3" x14ac:dyDescent="0.3">
      <c r="A24" s="4" t="s">
        <v>21</v>
      </c>
      <c r="B24" s="5">
        <v>244.26959232999999</v>
      </c>
      <c r="C24">
        <f t="shared" si="0"/>
        <v>1.9522680821812743E-2</v>
      </c>
    </row>
    <row r="25" spans="1:3" x14ac:dyDescent="0.3">
      <c r="A25" s="4" t="s">
        <v>22</v>
      </c>
      <c r="B25" s="5">
        <v>248.87061589000001</v>
      </c>
      <c r="C25">
        <f t="shared" si="0"/>
        <v>1.8835842464518526E-2</v>
      </c>
    </row>
    <row r="26" spans="1:3" x14ac:dyDescent="0.3">
      <c r="A26" s="4" t="s">
        <v>23</v>
      </c>
      <c r="B26" s="5">
        <v>253.48953105000001</v>
      </c>
      <c r="C26">
        <f t="shared" si="0"/>
        <v>1.8559503875063887E-2</v>
      </c>
    </row>
    <row r="27" spans="1:3" x14ac:dyDescent="0.3">
      <c r="A27" s="4" t="s">
        <v>24</v>
      </c>
      <c r="B27" s="5">
        <v>258.03741656</v>
      </c>
      <c r="C27">
        <f t="shared" si="0"/>
        <v>1.79411176909825E-2</v>
      </c>
    </row>
    <row r="28" spans="1:3" x14ac:dyDescent="0.3">
      <c r="A28" s="4" t="s">
        <v>25</v>
      </c>
      <c r="B28" s="5">
        <v>262.65674919000003</v>
      </c>
      <c r="C28">
        <f t="shared" si="0"/>
        <v>1.7901793823478007E-2</v>
      </c>
    </row>
    <row r="29" spans="1:3" x14ac:dyDescent="0.3">
      <c r="A29" s="4" t="s">
        <v>26</v>
      </c>
      <c r="B29" s="5">
        <v>267.22695944999998</v>
      </c>
      <c r="C29">
        <f t="shared" si="0"/>
        <v>1.7399934607025713E-2</v>
      </c>
    </row>
    <row r="30" spans="1:3" x14ac:dyDescent="0.3">
      <c r="A30" s="4" t="s">
        <v>27</v>
      </c>
      <c r="B30" s="5">
        <v>271.66284354999999</v>
      </c>
      <c r="C30">
        <f t="shared" si="0"/>
        <v>1.65996878051895E-2</v>
      </c>
    </row>
    <row r="31" spans="1:3" x14ac:dyDescent="0.3">
      <c r="A31" s="4" t="s">
        <v>28</v>
      </c>
      <c r="B31" s="5">
        <v>276.07703905</v>
      </c>
      <c r="C31">
        <f t="shared" si="0"/>
        <v>1.6248801059124407E-2</v>
      </c>
    </row>
    <row r="32" spans="1:3" x14ac:dyDescent="0.3">
      <c r="A32" s="4" t="s">
        <v>29</v>
      </c>
      <c r="B32" s="5">
        <v>280.64752762000001</v>
      </c>
      <c r="C32">
        <f t="shared" si="0"/>
        <v>1.6555120214732044E-2</v>
      </c>
    </row>
    <row r="33" spans="1:3" x14ac:dyDescent="0.3">
      <c r="A33" s="4" t="s">
        <v>30</v>
      </c>
      <c r="B33" s="5">
        <v>285.07559904999999</v>
      </c>
      <c r="C33">
        <f t="shared" si="0"/>
        <v>1.5778052518587105E-2</v>
      </c>
    </row>
    <row r="34" spans="1:3" x14ac:dyDescent="0.3">
      <c r="A34" s="4" t="s">
        <v>31</v>
      </c>
      <c r="B34" s="5">
        <v>289.61209358000002</v>
      </c>
      <c r="C34">
        <f t="shared" si="0"/>
        <v>1.5913303506570387E-2</v>
      </c>
    </row>
    <row r="35" spans="1:3" x14ac:dyDescent="0.3">
      <c r="A35" s="4" t="s">
        <v>32</v>
      </c>
      <c r="B35" s="5">
        <v>294.25975457999999</v>
      </c>
      <c r="C35">
        <f t="shared" si="0"/>
        <v>1.6047883023628362E-2</v>
      </c>
    </row>
    <row r="36" spans="1:3" x14ac:dyDescent="0.3">
      <c r="A36" s="4" t="s">
        <v>33</v>
      </c>
      <c r="B36" s="5">
        <v>298.90926437000002</v>
      </c>
      <c r="C36">
        <f t="shared" si="0"/>
        <v>1.5800698932262547E-2</v>
      </c>
    </row>
    <row r="37" spans="1:3" x14ac:dyDescent="0.3">
      <c r="A37" s="4" t="s">
        <v>34</v>
      </c>
      <c r="B37" s="5">
        <v>303.63230864000002</v>
      </c>
      <c r="C37">
        <f t="shared" si="0"/>
        <v>1.5800929690000132E-2</v>
      </c>
    </row>
    <row r="38" spans="1:3" x14ac:dyDescent="0.3">
      <c r="A38" s="4" t="s">
        <v>35</v>
      </c>
      <c r="B38" s="5">
        <v>308.73586747000002</v>
      </c>
      <c r="C38">
        <f t="shared" si="0"/>
        <v>1.6808352355055289E-2</v>
      </c>
    </row>
    <row r="39" spans="1:3" x14ac:dyDescent="0.3">
      <c r="A39" s="4" t="s">
        <v>36</v>
      </c>
      <c r="B39" s="5">
        <v>317.95644234000002</v>
      </c>
      <c r="C39">
        <f t="shared" si="0"/>
        <v>2.9865577153571188E-2</v>
      </c>
    </row>
    <row r="40" spans="1:3" x14ac:dyDescent="0.3">
      <c r="A40" s="4" t="s">
        <v>37</v>
      </c>
      <c r="B40" s="5">
        <v>327.22423114999998</v>
      </c>
      <c r="C40">
        <f t="shared" si="0"/>
        <v>2.914798247770567E-2</v>
      </c>
    </row>
    <row r="41" spans="1:3" x14ac:dyDescent="0.3">
      <c r="A41" s="4" t="s">
        <v>38</v>
      </c>
      <c r="B41" s="5">
        <v>335.94885089000002</v>
      </c>
      <c r="C41">
        <f t="shared" si="0"/>
        <v>2.6662511236830388E-2</v>
      </c>
    </row>
    <row r="42" spans="1:3" x14ac:dyDescent="0.3">
      <c r="A42" s="4" t="s">
        <v>39</v>
      </c>
      <c r="B42" s="5">
        <v>343.02831818999999</v>
      </c>
      <c r="C42">
        <f t="shared" si="0"/>
        <v>2.1073051094667949E-2</v>
      </c>
    </row>
    <row r="43" spans="1:3" x14ac:dyDescent="0.3">
      <c r="A43" s="4" t="s">
        <v>40</v>
      </c>
      <c r="B43" s="5">
        <v>350.50736454000003</v>
      </c>
      <c r="C43">
        <f t="shared" si="0"/>
        <v>2.1802999791572519E-2</v>
      </c>
    </row>
    <row r="44" spans="1:3" x14ac:dyDescent="0.3">
      <c r="A44" s="4" t="s">
        <v>41</v>
      </c>
      <c r="B44" s="5">
        <v>356.44789237999998</v>
      </c>
      <c r="C44">
        <f t="shared" si="0"/>
        <v>1.6948368111455281E-2</v>
      </c>
    </row>
    <row r="45" spans="1:3" x14ac:dyDescent="0.3">
      <c r="A45" s="4" t="s">
        <v>42</v>
      </c>
      <c r="B45" s="5">
        <v>362.24970069</v>
      </c>
      <c r="C45">
        <f t="shared" si="0"/>
        <v>1.6276736190699248E-2</v>
      </c>
    </row>
    <row r="46" spans="1:3" x14ac:dyDescent="0.3">
      <c r="A46" s="4" t="s">
        <v>43</v>
      </c>
      <c r="B46" s="5">
        <v>368.03457162000001</v>
      </c>
      <c r="C46">
        <f t="shared" si="0"/>
        <v>1.5969291124274809E-2</v>
      </c>
    </row>
    <row r="47" spans="1:3" x14ac:dyDescent="0.3">
      <c r="A47" s="4" t="s">
        <v>44</v>
      </c>
      <c r="B47" s="5">
        <v>374.26899880000002</v>
      </c>
      <c r="C47">
        <f t="shared" si="0"/>
        <v>1.693978680469499E-2</v>
      </c>
    </row>
    <row r="48" spans="1:3" x14ac:dyDescent="0.3">
      <c r="A48" s="4" t="s">
        <v>45</v>
      </c>
      <c r="B48" s="5">
        <v>379.78036681999998</v>
      </c>
      <c r="C48">
        <f t="shared" si="0"/>
        <v>1.4725686705740593E-2</v>
      </c>
    </row>
    <row r="49" spans="1:3" x14ac:dyDescent="0.3">
      <c r="A49" s="4" t="s">
        <v>46</v>
      </c>
      <c r="B49" s="5">
        <v>389.24657346999999</v>
      </c>
      <c r="C49">
        <f t="shared" si="0"/>
        <v>2.4925476609712671E-2</v>
      </c>
    </row>
    <row r="50" spans="1:3" x14ac:dyDescent="0.3">
      <c r="A50" s="4" t="s">
        <v>47</v>
      </c>
      <c r="B50" s="5">
        <v>400.63338365999999</v>
      </c>
      <c r="C50">
        <f t="shared" si="0"/>
        <v>2.9253462884696768E-2</v>
      </c>
    </row>
    <row r="51" spans="1:3" x14ac:dyDescent="0.3">
      <c r="A51" s="4" t="s">
        <v>48</v>
      </c>
      <c r="B51" s="5">
        <v>410.95198585999998</v>
      </c>
      <c r="C51">
        <f t="shared" si="0"/>
        <v>2.5755722365754963E-2</v>
      </c>
    </row>
    <row r="52" spans="1:3" x14ac:dyDescent="0.3">
      <c r="A52" s="4" t="s">
        <v>49</v>
      </c>
      <c r="B52" s="5">
        <v>420.72449669000002</v>
      </c>
      <c r="C52">
        <f t="shared" si="0"/>
        <v>2.3780176678180664E-2</v>
      </c>
    </row>
    <row r="53" spans="1:3" x14ac:dyDescent="0.3">
      <c r="A53" s="4" t="s">
        <v>50</v>
      </c>
      <c r="B53" s="5">
        <v>429.87187504000002</v>
      </c>
      <c r="C53">
        <f t="shared" si="0"/>
        <v>2.1741967539246954E-2</v>
      </c>
    </row>
    <row r="54" spans="1:3" x14ac:dyDescent="0.3">
      <c r="A54" s="4" t="s">
        <v>51</v>
      </c>
      <c r="B54" s="5">
        <v>439.97052984999999</v>
      </c>
      <c r="C54">
        <f t="shared" si="0"/>
        <v>2.3492243611099806E-2</v>
      </c>
    </row>
    <row r="55" spans="1:3" x14ac:dyDescent="0.3">
      <c r="A55" s="4" t="s">
        <v>52</v>
      </c>
      <c r="B55" s="5">
        <v>454.42459631000003</v>
      </c>
      <c r="C55">
        <f t="shared" si="0"/>
        <v>3.2852351417554937E-2</v>
      </c>
    </row>
    <row r="56" spans="1:3" x14ac:dyDescent="0.3">
      <c r="A56" s="4" t="s">
        <v>53</v>
      </c>
      <c r="B56" s="5">
        <v>464.76522505999998</v>
      </c>
      <c r="C56">
        <f t="shared" si="0"/>
        <v>2.2755433649427115E-2</v>
      </c>
    </row>
    <row r="57" spans="1:3" x14ac:dyDescent="0.3">
      <c r="A57" s="4" t="s">
        <v>54</v>
      </c>
      <c r="B57" s="5">
        <v>473.87248647000001</v>
      </c>
      <c r="C57">
        <f t="shared" si="0"/>
        <v>1.9595401977039684E-2</v>
      </c>
    </row>
    <row r="58" spans="1:3" x14ac:dyDescent="0.3">
      <c r="A58" s="4" t="s">
        <v>55</v>
      </c>
      <c r="B58" s="5">
        <v>481.61923089999999</v>
      </c>
      <c r="C58">
        <f t="shared" si="0"/>
        <v>1.6347740481215789E-2</v>
      </c>
    </row>
    <row r="59" spans="1:3" x14ac:dyDescent="0.3">
      <c r="A59" s="4" t="s">
        <v>56</v>
      </c>
      <c r="B59" s="5">
        <v>489.43396340999999</v>
      </c>
      <c r="C59">
        <f t="shared" si="0"/>
        <v>1.6225956125955898E-2</v>
      </c>
    </row>
    <row r="60" spans="1:3" x14ac:dyDescent="0.3">
      <c r="A60" s="4" t="s">
        <v>57</v>
      </c>
      <c r="B60" s="5">
        <v>497.00256347999999</v>
      </c>
      <c r="C60">
        <f t="shared" si="0"/>
        <v>1.5463986228638094E-2</v>
      </c>
    </row>
    <row r="61" spans="1:3" x14ac:dyDescent="0.3">
      <c r="A61" s="4" t="s">
        <v>58</v>
      </c>
      <c r="B61" s="5">
        <v>504.29742432</v>
      </c>
      <c r="C61">
        <f t="shared" si="0"/>
        <v>1.467771270417928E-2</v>
      </c>
    </row>
    <row r="62" spans="1:3" x14ac:dyDescent="0.3">
      <c r="A62" s="4" t="s">
        <v>59</v>
      </c>
      <c r="B62" s="5">
        <v>511.22875977000001</v>
      </c>
      <c r="C62">
        <f t="shared" si="0"/>
        <v>1.3744538670500406E-2</v>
      </c>
    </row>
    <row r="63" spans="1:3" x14ac:dyDescent="0.3">
      <c r="A63" s="4" t="s">
        <v>60</v>
      </c>
      <c r="B63" s="5">
        <v>518.24530029000005</v>
      </c>
      <c r="C63">
        <f t="shared" si="0"/>
        <v>1.3724854844153755E-2</v>
      </c>
    </row>
    <row r="64" spans="1:3" x14ac:dyDescent="0.3">
      <c r="A64" s="4" t="s">
        <v>61</v>
      </c>
      <c r="B64" s="5">
        <v>526.44653000000005</v>
      </c>
      <c r="C64">
        <f t="shared" si="0"/>
        <v>1.5824995818410237E-2</v>
      </c>
    </row>
    <row r="65" spans="1:3" x14ac:dyDescent="0.3">
      <c r="A65" s="4" t="s">
        <v>62</v>
      </c>
      <c r="B65" s="5">
        <v>534.03404999999998</v>
      </c>
      <c r="C65">
        <f t="shared" si="0"/>
        <v>1.4412707782497813E-2</v>
      </c>
    </row>
    <row r="66" spans="1:3" x14ac:dyDescent="0.3">
      <c r="A66" s="4" t="s">
        <v>63</v>
      </c>
      <c r="B66" s="5">
        <v>541.72693000000004</v>
      </c>
      <c r="C66">
        <f t="shared" si="0"/>
        <v>1.4405223786760457E-2</v>
      </c>
    </row>
    <row r="67" spans="1:3" x14ac:dyDescent="0.3">
      <c r="A67" s="4" t="s">
        <v>64</v>
      </c>
      <c r="B67" s="5">
        <v>549.52161000000001</v>
      </c>
      <c r="C67">
        <f t="shared" si="0"/>
        <v>1.4388577654797396E-2</v>
      </c>
    </row>
    <row r="68" spans="1:3" x14ac:dyDescent="0.3">
      <c r="A68" s="4" t="s">
        <v>65</v>
      </c>
      <c r="B68" s="5">
        <v>556.57631000000003</v>
      </c>
      <c r="C68">
        <f t="shared" si="0"/>
        <v>1.2837893672643874E-2</v>
      </c>
    </row>
    <row r="69" spans="1:3" x14ac:dyDescent="0.3">
      <c r="A69" s="4" t="s">
        <v>66</v>
      </c>
      <c r="B69" s="5">
        <v>564.85884999999996</v>
      </c>
      <c r="C69">
        <f t="shared" si="0"/>
        <v>1.4881229853278999E-2</v>
      </c>
    </row>
    <row r="70" spans="1:3" x14ac:dyDescent="0.3">
      <c r="A70" s="4" t="s">
        <v>67</v>
      </c>
      <c r="B70" s="5">
        <v>572.68326000000002</v>
      </c>
      <c r="C70">
        <f t="shared" si="0"/>
        <v>1.3851973816113583E-2</v>
      </c>
    </row>
    <row r="71" spans="1:3" x14ac:dyDescent="0.3">
      <c r="A71" s="4" t="s">
        <v>68</v>
      </c>
      <c r="B71" s="5">
        <v>580.13667999999996</v>
      </c>
      <c r="C71">
        <f t="shared" si="0"/>
        <v>1.3014908101207423E-2</v>
      </c>
    </row>
    <row r="72" spans="1:3" x14ac:dyDescent="0.3">
      <c r="A72" s="4" t="s">
        <v>69</v>
      </c>
      <c r="B72" s="5">
        <v>588.22961425999995</v>
      </c>
      <c r="C72">
        <f t="shared" si="0"/>
        <v>1.3950047530178589E-2</v>
      </c>
    </row>
    <row r="73" spans="1:3" x14ac:dyDescent="0.3">
      <c r="A73" s="4" t="s">
        <v>70</v>
      </c>
      <c r="B73" s="5">
        <v>595.38855000000001</v>
      </c>
      <c r="C73">
        <f t="shared" si="0"/>
        <v>1.2170308271551633E-2</v>
      </c>
    </row>
    <row r="74" spans="1:3" x14ac:dyDescent="0.3">
      <c r="A74" s="4" t="s">
        <v>71</v>
      </c>
      <c r="B74" s="5">
        <v>603.00653</v>
      </c>
      <c r="C74">
        <f t="shared" si="0"/>
        <v>1.279497229162363E-2</v>
      </c>
    </row>
    <row r="75" spans="1:3" x14ac:dyDescent="0.3">
      <c r="A75" s="4" t="s">
        <v>72</v>
      </c>
      <c r="B75" s="5">
        <v>610.33659</v>
      </c>
      <c r="C75">
        <f t="shared" si="0"/>
        <v>1.215585509496897E-2</v>
      </c>
    </row>
    <row r="76" spans="1:3" x14ac:dyDescent="0.3">
      <c r="A76" s="4" t="s">
        <v>73</v>
      </c>
      <c r="B76" s="5">
        <v>617.62261963000003</v>
      </c>
      <c r="C76">
        <f t="shared" si="0"/>
        <v>1.1937723789425814E-2</v>
      </c>
    </row>
    <row r="77" spans="1:3" x14ac:dyDescent="0.3">
      <c r="A77" s="4" t="s">
        <v>74</v>
      </c>
      <c r="B77" s="5">
        <v>625.39599609000004</v>
      </c>
      <c r="C77">
        <f t="shared" si="0"/>
        <v>1.2585964653718085E-2</v>
      </c>
    </row>
    <row r="78" spans="1:3" x14ac:dyDescent="0.3">
      <c r="A78" s="4" t="s">
        <v>75</v>
      </c>
      <c r="B78" s="5">
        <v>631.70977783000001</v>
      </c>
      <c r="C78">
        <f t="shared" si="0"/>
        <v>1.0095654240631413E-2</v>
      </c>
    </row>
    <row r="79" spans="1:3" x14ac:dyDescent="0.3">
      <c r="A79" s="4" t="s">
        <v>76</v>
      </c>
      <c r="B79" s="5">
        <v>639.60607909999999</v>
      </c>
      <c r="C79">
        <f t="shared" si="0"/>
        <v>1.2499887681214572E-2</v>
      </c>
    </row>
    <row r="80" spans="1:3" x14ac:dyDescent="0.3">
      <c r="A80" s="4" t="s">
        <v>77</v>
      </c>
      <c r="B80" s="5">
        <v>647.15567999999996</v>
      </c>
      <c r="C80">
        <f t="shared" si="0"/>
        <v>1.1803516487246535E-2</v>
      </c>
    </row>
    <row r="81" spans="1:3" x14ac:dyDescent="0.3">
      <c r="A81" s="4" t="s">
        <v>78</v>
      </c>
      <c r="B81" s="5">
        <v>655.79123000000004</v>
      </c>
      <c r="C81">
        <f t="shared" si="0"/>
        <v>1.3343852595097516E-2</v>
      </c>
    </row>
    <row r="82" spans="1:3" x14ac:dyDescent="0.3">
      <c r="A82" s="4" t="s">
        <v>79</v>
      </c>
      <c r="B82" s="5">
        <v>664.13999000000001</v>
      </c>
      <c r="C82">
        <f t="shared" si="0"/>
        <v>1.2730819837282636E-2</v>
      </c>
    </row>
    <row r="83" spans="1:3" x14ac:dyDescent="0.3">
      <c r="A83" s="4" t="s">
        <v>80</v>
      </c>
      <c r="B83" s="5">
        <v>674.11194</v>
      </c>
      <c r="C83">
        <f t="shared" si="0"/>
        <v>1.5014831436366283E-2</v>
      </c>
    </row>
    <row r="84" spans="1:3" x14ac:dyDescent="0.3">
      <c r="A84" s="4" t="s">
        <v>81</v>
      </c>
      <c r="B84" s="5">
        <v>684.90596000000005</v>
      </c>
      <c r="C84">
        <f t="shared" si="0"/>
        <v>1.6012207112071186E-2</v>
      </c>
    </row>
    <row r="85" spans="1:3" x14ac:dyDescent="0.3">
      <c r="A85" s="4" t="s">
        <v>82</v>
      </c>
      <c r="B85" s="5">
        <v>693.96677</v>
      </c>
      <c r="C85">
        <f t="shared" ref="C85:C148" si="1">(B85/B84)-1</f>
        <v>1.3229276030829018E-2</v>
      </c>
    </row>
    <row r="86" spans="1:3" x14ac:dyDescent="0.3">
      <c r="A86" s="4" t="s">
        <v>83</v>
      </c>
      <c r="B86" s="5">
        <v>704.61235999999997</v>
      </c>
      <c r="C86">
        <f t="shared" si="1"/>
        <v>1.5340201375924734E-2</v>
      </c>
    </row>
    <row r="87" spans="1:3" x14ac:dyDescent="0.3">
      <c r="A87" s="4" t="s">
        <v>84</v>
      </c>
      <c r="B87" s="5">
        <v>714.42971999999997</v>
      </c>
      <c r="C87">
        <f t="shared" si="1"/>
        <v>1.3932994306259383E-2</v>
      </c>
    </row>
    <row r="88" spans="1:3" x14ac:dyDescent="0.3">
      <c r="A88" s="4" t="s">
        <v>85</v>
      </c>
      <c r="B88" s="5">
        <v>724.38603999999998</v>
      </c>
      <c r="C88">
        <f t="shared" si="1"/>
        <v>1.3936038383173699E-2</v>
      </c>
    </row>
    <row r="89" spans="1:3" x14ac:dyDescent="0.3">
      <c r="A89" s="4" t="s">
        <v>86</v>
      </c>
      <c r="B89" s="5">
        <v>735.48283000000004</v>
      </c>
      <c r="C89">
        <f t="shared" si="1"/>
        <v>1.5318889911241307E-2</v>
      </c>
    </row>
    <row r="90" spans="1:3" x14ac:dyDescent="0.3">
      <c r="A90" s="4" t="s">
        <v>87</v>
      </c>
      <c r="B90" s="5">
        <v>744.65774999999996</v>
      </c>
      <c r="C90">
        <f t="shared" si="1"/>
        <v>1.2474689585887377E-2</v>
      </c>
    </row>
    <row r="91" spans="1:3" x14ac:dyDescent="0.3">
      <c r="A91" s="4" t="s">
        <v>88</v>
      </c>
      <c r="B91" s="5">
        <v>754.85914000000002</v>
      </c>
      <c r="C91">
        <f t="shared" si="1"/>
        <v>1.369943440459731E-2</v>
      </c>
    </row>
    <row r="92" spans="1:3" x14ac:dyDescent="0.3">
      <c r="A92" s="4" t="s">
        <v>89</v>
      </c>
      <c r="B92" s="5">
        <v>766.05332999999996</v>
      </c>
      <c r="C92">
        <f t="shared" si="1"/>
        <v>1.482950845637232E-2</v>
      </c>
    </row>
    <row r="93" spans="1:3" x14ac:dyDescent="0.3">
      <c r="A93" s="4" t="s">
        <v>90</v>
      </c>
      <c r="B93" s="5">
        <v>776.80607999999995</v>
      </c>
      <c r="C93">
        <f t="shared" si="1"/>
        <v>1.4036555392298755E-2</v>
      </c>
    </row>
    <row r="94" spans="1:3" x14ac:dyDescent="0.3">
      <c r="A94" s="4" t="s">
        <v>91</v>
      </c>
      <c r="B94" s="5">
        <v>786.98022461000005</v>
      </c>
      <c r="C94">
        <f t="shared" si="1"/>
        <v>1.3097405996101541E-2</v>
      </c>
    </row>
    <row r="95" spans="1:3" x14ac:dyDescent="0.3">
      <c r="A95" s="4" t="s">
        <v>92</v>
      </c>
      <c r="B95" s="5">
        <v>799.05090331999997</v>
      </c>
      <c r="C95">
        <f t="shared" si="1"/>
        <v>1.5337969535361262E-2</v>
      </c>
    </row>
    <row r="96" spans="1:3" x14ac:dyDescent="0.3">
      <c r="A96" s="4" t="s">
        <v>93</v>
      </c>
      <c r="B96" s="5">
        <v>810.60163999999997</v>
      </c>
      <c r="C96">
        <f t="shared" si="1"/>
        <v>1.445557051748203E-2</v>
      </c>
    </row>
    <row r="97" spans="1:3" x14ac:dyDescent="0.3">
      <c r="A97" s="4" t="s">
        <v>94</v>
      </c>
      <c r="B97" s="5">
        <v>821.79408999999998</v>
      </c>
      <c r="C97">
        <f t="shared" si="1"/>
        <v>1.3807583710292004E-2</v>
      </c>
    </row>
    <row r="98" spans="1:3" x14ac:dyDescent="0.3">
      <c r="A98" s="4" t="s">
        <v>95</v>
      </c>
      <c r="B98" s="5">
        <v>835.28326000000004</v>
      </c>
      <c r="C98">
        <f t="shared" si="1"/>
        <v>1.6414294242490968E-2</v>
      </c>
    </row>
    <row r="99" spans="1:3" x14ac:dyDescent="0.3">
      <c r="A99" s="4" t="s">
        <v>96</v>
      </c>
      <c r="B99" s="5">
        <v>848.09252000000004</v>
      </c>
      <c r="C99">
        <f t="shared" si="1"/>
        <v>1.5335228913841759E-2</v>
      </c>
    </row>
    <row r="100" spans="1:3" x14ac:dyDescent="0.3">
      <c r="A100" s="4" t="s">
        <v>97</v>
      </c>
      <c r="B100" s="5">
        <v>862.79913999999997</v>
      </c>
      <c r="C100">
        <f t="shared" si="1"/>
        <v>1.7340820315217442E-2</v>
      </c>
    </row>
    <row r="101" spans="1:3" x14ac:dyDescent="0.3">
      <c r="A101" s="4" t="s">
        <v>98</v>
      </c>
      <c r="B101" s="5">
        <v>879.75701000000004</v>
      </c>
      <c r="C101">
        <f t="shared" si="1"/>
        <v>1.965448180673901E-2</v>
      </c>
    </row>
    <row r="102" spans="1:3" x14ac:dyDescent="0.3">
      <c r="A102" s="4" t="s">
        <v>99</v>
      </c>
      <c r="B102" s="5">
        <v>895.83447999999999</v>
      </c>
      <c r="C102">
        <f t="shared" si="1"/>
        <v>1.8274898429055941E-2</v>
      </c>
    </row>
    <row r="103" spans="1:3" x14ac:dyDescent="0.3">
      <c r="A103" s="4" t="s">
        <v>100</v>
      </c>
      <c r="B103" s="5">
        <v>911.71866</v>
      </c>
      <c r="C103">
        <f t="shared" si="1"/>
        <v>1.7731154978540165E-2</v>
      </c>
    </row>
    <row r="104" spans="1:3" x14ac:dyDescent="0.3">
      <c r="A104" s="4" t="s">
        <v>101</v>
      </c>
      <c r="B104" s="5">
        <v>928.73090000000002</v>
      </c>
      <c r="C104">
        <f t="shared" si="1"/>
        <v>1.865952814873828E-2</v>
      </c>
    </row>
    <row r="105" spans="1:3" x14ac:dyDescent="0.3">
      <c r="A105" s="4" t="s">
        <v>102</v>
      </c>
      <c r="B105" s="5">
        <v>946.92801999999995</v>
      </c>
      <c r="C105">
        <f t="shared" si="1"/>
        <v>1.9593533498239335E-2</v>
      </c>
    </row>
    <row r="106" spans="1:3" x14ac:dyDescent="0.3">
      <c r="A106" s="4" t="s">
        <v>103</v>
      </c>
      <c r="B106" s="5">
        <v>964.45354999999995</v>
      </c>
      <c r="C106">
        <f t="shared" si="1"/>
        <v>1.8507774223430529E-2</v>
      </c>
    </row>
    <row r="107" spans="1:3" x14ac:dyDescent="0.3">
      <c r="A107" s="4" t="s">
        <v>104</v>
      </c>
      <c r="B107" s="5">
        <v>984.47220000000004</v>
      </c>
      <c r="C107">
        <f t="shared" si="1"/>
        <v>2.0756468779652648E-2</v>
      </c>
    </row>
    <row r="108" spans="1:3" x14ac:dyDescent="0.3">
      <c r="A108" s="4" t="s">
        <v>105</v>
      </c>
      <c r="B108" s="5">
        <v>1001.84422</v>
      </c>
      <c r="C108">
        <f t="shared" si="1"/>
        <v>1.7646023930386168E-2</v>
      </c>
    </row>
    <row r="109" spans="1:3" x14ac:dyDescent="0.3">
      <c r="A109" s="4" t="s">
        <v>106</v>
      </c>
      <c r="B109" s="5">
        <v>1018.56638</v>
      </c>
      <c r="C109">
        <f t="shared" si="1"/>
        <v>1.6691377427919818E-2</v>
      </c>
    </row>
    <row r="110" spans="1:3" x14ac:dyDescent="0.3">
      <c r="A110" s="4" t="s">
        <v>107</v>
      </c>
      <c r="B110" s="5">
        <v>1035.2014200000001</v>
      </c>
      <c r="C110">
        <f t="shared" si="1"/>
        <v>1.6331817274393146E-2</v>
      </c>
    </row>
    <row r="111" spans="1:3" x14ac:dyDescent="0.3">
      <c r="A111" s="4" t="s">
        <v>108</v>
      </c>
      <c r="B111" s="5">
        <v>1049.05339</v>
      </c>
      <c r="C111">
        <f t="shared" si="1"/>
        <v>1.3380941846080407E-2</v>
      </c>
    </row>
    <row r="112" spans="1:3" x14ac:dyDescent="0.3">
      <c r="A112" s="4" t="s">
        <v>109</v>
      </c>
      <c r="B112" s="5">
        <v>1063.3808200000001</v>
      </c>
      <c r="C112">
        <f t="shared" si="1"/>
        <v>1.365748410574219E-2</v>
      </c>
    </row>
    <row r="113" spans="1:3" x14ac:dyDescent="0.3">
      <c r="A113" s="4" t="s">
        <v>110</v>
      </c>
      <c r="B113" s="5">
        <v>1076.78549</v>
      </c>
      <c r="C113">
        <f t="shared" si="1"/>
        <v>1.2605709777612883E-2</v>
      </c>
    </row>
    <row r="114" spans="1:3" x14ac:dyDescent="0.3">
      <c r="A114" s="4" t="s">
        <v>111</v>
      </c>
      <c r="B114" s="5">
        <v>1088.41083</v>
      </c>
      <c r="C114">
        <f t="shared" si="1"/>
        <v>1.0796337903847597E-2</v>
      </c>
    </row>
    <row r="115" spans="1:3" x14ac:dyDescent="0.3">
      <c r="A115" s="4" t="s">
        <v>112</v>
      </c>
      <c r="B115" s="5">
        <v>1103.3700699999999</v>
      </c>
      <c r="C115">
        <f t="shared" si="1"/>
        <v>1.374411167885925E-2</v>
      </c>
    </row>
    <row r="116" spans="1:3" x14ac:dyDescent="0.3">
      <c r="A116" s="4" t="s">
        <v>113</v>
      </c>
      <c r="B116" s="5">
        <v>1116.3311100000001</v>
      </c>
      <c r="C116">
        <f t="shared" si="1"/>
        <v>1.1746775041668656E-2</v>
      </c>
    </row>
    <row r="117" spans="1:3" x14ac:dyDescent="0.3">
      <c r="A117" s="4" t="s">
        <v>114</v>
      </c>
      <c r="B117" s="5">
        <v>1130.0045399999999</v>
      </c>
      <c r="C117">
        <f t="shared" si="1"/>
        <v>1.2248543355563912E-2</v>
      </c>
    </row>
    <row r="118" spans="1:3" x14ac:dyDescent="0.3">
      <c r="A118" s="4" t="s">
        <v>115</v>
      </c>
      <c r="B118" s="5">
        <v>1143.83095</v>
      </c>
      <c r="C118">
        <f t="shared" si="1"/>
        <v>1.2235711902538027E-2</v>
      </c>
    </row>
    <row r="119" spans="1:3" x14ac:dyDescent="0.3">
      <c r="A119" s="4" t="s">
        <v>116</v>
      </c>
      <c r="B119" s="5">
        <v>1158.4923699999999</v>
      </c>
      <c r="C119">
        <f t="shared" si="1"/>
        <v>1.2817820675336655E-2</v>
      </c>
    </row>
    <row r="120" spans="1:3" x14ac:dyDescent="0.3">
      <c r="A120" s="4" t="s">
        <v>117</v>
      </c>
      <c r="B120" s="5">
        <v>1173.3916099999999</v>
      </c>
      <c r="C120">
        <f t="shared" si="1"/>
        <v>1.2860887465318438E-2</v>
      </c>
    </row>
    <row r="121" spans="1:3" x14ac:dyDescent="0.3">
      <c r="A121" s="4" t="s">
        <v>118</v>
      </c>
      <c r="B121" s="5">
        <v>1187.9900600000001</v>
      </c>
      <c r="C121">
        <f t="shared" si="1"/>
        <v>1.2441242868610702E-2</v>
      </c>
    </row>
    <row r="122" spans="1:3" x14ac:dyDescent="0.3">
      <c r="A122" s="4" t="s">
        <v>119</v>
      </c>
      <c r="B122" s="5">
        <v>1202.3423299999999</v>
      </c>
      <c r="C122">
        <f t="shared" si="1"/>
        <v>1.2081136436444373E-2</v>
      </c>
    </row>
    <row r="123" spans="1:3" x14ac:dyDescent="0.3">
      <c r="A123" s="4" t="s">
        <v>120</v>
      </c>
      <c r="B123" s="5">
        <v>1217.3566499999999</v>
      </c>
      <c r="C123">
        <f t="shared" si="1"/>
        <v>1.248755834787918E-2</v>
      </c>
    </row>
    <row r="124" spans="1:3" x14ac:dyDescent="0.3">
      <c r="A124" s="4" t="s">
        <v>121</v>
      </c>
      <c r="B124" s="5">
        <v>1235.37201</v>
      </c>
      <c r="C124">
        <f t="shared" si="1"/>
        <v>1.4798752690922568E-2</v>
      </c>
    </row>
    <row r="125" spans="1:3" x14ac:dyDescent="0.3">
      <c r="A125" s="4" t="s">
        <v>122</v>
      </c>
      <c r="B125" s="5">
        <v>1252.4545800000001</v>
      </c>
      <c r="C125">
        <f t="shared" si="1"/>
        <v>1.382787521630835E-2</v>
      </c>
    </row>
    <row r="126" spans="1:3" x14ac:dyDescent="0.3">
      <c r="A126" s="4" t="s">
        <v>123</v>
      </c>
      <c r="B126" s="5">
        <v>1267.6833799999999</v>
      </c>
      <c r="C126">
        <f t="shared" si="1"/>
        <v>1.2159163488387525E-2</v>
      </c>
    </row>
    <row r="127" spans="1:3" x14ac:dyDescent="0.3">
      <c r="A127" s="4" t="s">
        <v>124</v>
      </c>
      <c r="B127" s="5">
        <v>1286.97721</v>
      </c>
      <c r="C127">
        <f t="shared" si="1"/>
        <v>1.5219754636208949E-2</v>
      </c>
    </row>
    <row r="128" spans="1:3" x14ac:dyDescent="0.3">
      <c r="A128" s="4" t="s">
        <v>125</v>
      </c>
      <c r="B128" s="5">
        <v>1305.0981099999999</v>
      </c>
      <c r="C128">
        <f t="shared" si="1"/>
        <v>1.4080202710038625E-2</v>
      </c>
    </row>
    <row r="129" spans="1:3" x14ac:dyDescent="0.3">
      <c r="A129" s="4" t="s">
        <v>126</v>
      </c>
      <c r="B129" s="5">
        <v>1324.6803199999999</v>
      </c>
      <c r="C129">
        <f t="shared" si="1"/>
        <v>1.5004396872507986E-2</v>
      </c>
    </row>
    <row r="130" spans="1:3" x14ac:dyDescent="0.3">
      <c r="A130" s="4" t="s">
        <v>127</v>
      </c>
      <c r="B130" s="5">
        <v>1345.6692499999999</v>
      </c>
      <c r="C130">
        <f t="shared" si="1"/>
        <v>1.584452466237285E-2</v>
      </c>
    </row>
    <row r="131" spans="1:3" x14ac:dyDescent="0.3">
      <c r="A131" s="4" t="s">
        <v>128</v>
      </c>
      <c r="B131" s="5">
        <v>1365.98577</v>
      </c>
      <c r="C131">
        <f t="shared" si="1"/>
        <v>1.509770695882362E-2</v>
      </c>
    </row>
    <row r="132" spans="1:3" x14ac:dyDescent="0.3">
      <c r="A132" s="4" t="s">
        <v>129</v>
      </c>
      <c r="B132" s="5">
        <v>1388.5635199999999</v>
      </c>
      <c r="C132">
        <f t="shared" si="1"/>
        <v>1.6528539678711152E-2</v>
      </c>
    </row>
    <row r="133" spans="1:3" x14ac:dyDescent="0.3">
      <c r="A133" s="4" t="s">
        <v>130</v>
      </c>
      <c r="B133" s="5">
        <v>1409.3873100000001</v>
      </c>
      <c r="C133">
        <f t="shared" si="1"/>
        <v>1.4996641997335525E-2</v>
      </c>
    </row>
    <row r="134" spans="1:3" x14ac:dyDescent="0.3">
      <c r="A134" s="4" t="s">
        <v>131</v>
      </c>
      <c r="B134" s="5">
        <v>1429.16544</v>
      </c>
      <c r="C134">
        <f t="shared" si="1"/>
        <v>1.4033140400561583E-2</v>
      </c>
    </row>
    <row r="135" spans="1:3" x14ac:dyDescent="0.3">
      <c r="A135" s="4" t="s">
        <v>132</v>
      </c>
      <c r="B135" s="5">
        <v>1448.83555</v>
      </c>
      <c r="C135">
        <f t="shared" si="1"/>
        <v>1.3763354087263702E-2</v>
      </c>
    </row>
    <row r="136" spans="1:3" x14ac:dyDescent="0.3">
      <c r="A136" s="4" t="s">
        <v>133</v>
      </c>
      <c r="B136" s="5">
        <v>1470.0875000000001</v>
      </c>
      <c r="C136">
        <f t="shared" si="1"/>
        <v>1.4668296895393063E-2</v>
      </c>
    </row>
    <row r="137" spans="1:3" x14ac:dyDescent="0.3">
      <c r="A137" s="4" t="s">
        <v>134</v>
      </c>
      <c r="B137" s="5">
        <v>1491.0453199999999</v>
      </c>
      <c r="C137">
        <f t="shared" si="1"/>
        <v>1.4256171826506847E-2</v>
      </c>
    </row>
    <row r="138" spans="1:3" x14ac:dyDescent="0.3">
      <c r="A138" s="4" t="s">
        <v>135</v>
      </c>
      <c r="B138" s="5">
        <v>1508.04429</v>
      </c>
      <c r="C138">
        <f t="shared" si="1"/>
        <v>1.1400706452034726E-2</v>
      </c>
    </row>
    <row r="139" spans="1:3" x14ac:dyDescent="0.3">
      <c r="A139" s="4" t="s">
        <v>136</v>
      </c>
      <c r="B139" s="5">
        <v>1529.4334799999999</v>
      </c>
      <c r="C139">
        <f t="shared" si="1"/>
        <v>1.4183396430617945E-2</v>
      </c>
    </row>
    <row r="140" spans="1:3" x14ac:dyDescent="0.3">
      <c r="A140" s="4" t="s">
        <v>137</v>
      </c>
      <c r="B140" s="5">
        <v>1545.8802900000001</v>
      </c>
      <c r="C140">
        <f t="shared" si="1"/>
        <v>1.0753530777945386E-2</v>
      </c>
    </row>
    <row r="141" spans="1:3" x14ac:dyDescent="0.3">
      <c r="A141" s="4" t="s">
        <v>138</v>
      </c>
      <c r="B141" s="5">
        <v>1565.6397899999999</v>
      </c>
      <c r="C141">
        <f t="shared" si="1"/>
        <v>1.2782037605253205E-2</v>
      </c>
    </row>
    <row r="142" spans="1:3" x14ac:dyDescent="0.3">
      <c r="A142" s="4" t="s">
        <v>139</v>
      </c>
      <c r="B142" s="5">
        <v>1584.1482900000001</v>
      </c>
      <c r="C142">
        <f t="shared" si="1"/>
        <v>1.1821684731198712E-2</v>
      </c>
    </row>
    <row r="143" spans="1:3" x14ac:dyDescent="0.3">
      <c r="A143" s="4" t="s">
        <v>140</v>
      </c>
      <c r="B143" s="5">
        <v>1602.6347599999999</v>
      </c>
      <c r="C143">
        <f t="shared" si="1"/>
        <v>1.1669658779229541E-2</v>
      </c>
    </row>
    <row r="144" spans="1:3" x14ac:dyDescent="0.3">
      <c r="A144" s="4" t="s">
        <v>141</v>
      </c>
      <c r="B144" s="5">
        <v>1622.68887</v>
      </c>
      <c r="C144">
        <f t="shared" si="1"/>
        <v>1.2513212929438744E-2</v>
      </c>
    </row>
    <row r="145" spans="1:3" x14ac:dyDescent="0.3">
      <c r="A145" s="4" t="s">
        <v>142</v>
      </c>
      <c r="B145" s="5">
        <v>1639.7785899999999</v>
      </c>
      <c r="C145">
        <f t="shared" si="1"/>
        <v>1.0531729351172414E-2</v>
      </c>
    </row>
    <row r="146" spans="1:3" x14ac:dyDescent="0.3">
      <c r="A146" s="4" t="s">
        <v>143</v>
      </c>
      <c r="B146" s="5">
        <v>1657.6541299999999</v>
      </c>
      <c r="C146">
        <f t="shared" si="1"/>
        <v>1.0901191239483188E-2</v>
      </c>
    </row>
    <row r="147" spans="1:3" x14ac:dyDescent="0.3">
      <c r="A147" s="4" t="s">
        <v>144</v>
      </c>
      <c r="B147" s="5">
        <v>1674.51721</v>
      </c>
      <c r="C147">
        <f t="shared" si="1"/>
        <v>1.0172857953184788E-2</v>
      </c>
    </row>
    <row r="148" spans="1:3" x14ac:dyDescent="0.3">
      <c r="A148" s="4" t="s">
        <v>145</v>
      </c>
      <c r="B148" s="5">
        <v>1690.9995699999999</v>
      </c>
      <c r="C148">
        <f t="shared" si="1"/>
        <v>9.8430520161689739E-3</v>
      </c>
    </row>
    <row r="149" spans="1:3" x14ac:dyDescent="0.3">
      <c r="A149" s="4" t="s">
        <v>146</v>
      </c>
      <c r="B149" s="5">
        <v>1709.2353000000001</v>
      </c>
      <c r="C149">
        <f t="shared" ref="C149:C212" si="2">(B149/B148)-1</f>
        <v>1.0783994463109181E-2</v>
      </c>
    </row>
    <row r="150" spans="1:3" x14ac:dyDescent="0.3">
      <c r="A150" s="4" t="s">
        <v>147</v>
      </c>
      <c r="B150" s="5">
        <v>1724.1020100000001</v>
      </c>
      <c r="C150">
        <f t="shared" si="2"/>
        <v>8.6978720834984813E-3</v>
      </c>
    </row>
    <row r="151" spans="1:3" x14ac:dyDescent="0.3">
      <c r="A151" s="4" t="s">
        <v>148</v>
      </c>
      <c r="B151" s="5">
        <v>1742.18021</v>
      </c>
      <c r="C151">
        <f t="shared" si="2"/>
        <v>1.0485574458555247E-2</v>
      </c>
    </row>
    <row r="152" spans="1:3" x14ac:dyDescent="0.3">
      <c r="A152" s="4" t="s">
        <v>149</v>
      </c>
      <c r="B152" s="5">
        <v>1758.56754</v>
      </c>
      <c r="C152">
        <f t="shared" si="2"/>
        <v>9.4062198077660142E-3</v>
      </c>
    </row>
    <row r="153" spans="1:3" x14ac:dyDescent="0.3">
      <c r="A153" s="4" t="s">
        <v>150</v>
      </c>
      <c r="B153" s="5">
        <v>1776.5422599999999</v>
      </c>
      <c r="C153">
        <f t="shared" si="2"/>
        <v>1.0221228125250059E-2</v>
      </c>
    </row>
    <row r="154" spans="1:3" x14ac:dyDescent="0.3">
      <c r="A154" s="4" t="s">
        <v>151</v>
      </c>
      <c r="B154" s="5">
        <v>1792.5573400000001</v>
      </c>
      <c r="C154">
        <f t="shared" si="2"/>
        <v>9.0147475579895886E-3</v>
      </c>
    </row>
    <row r="155" spans="1:3" x14ac:dyDescent="0.3">
      <c r="A155" s="4" t="s">
        <v>152</v>
      </c>
      <c r="B155" s="5">
        <v>1809.9119000000001</v>
      </c>
      <c r="C155">
        <f t="shared" si="2"/>
        <v>9.6814532024955824E-3</v>
      </c>
    </row>
    <row r="156" spans="1:3" x14ac:dyDescent="0.3">
      <c r="A156" s="4" t="s">
        <v>153</v>
      </c>
      <c r="B156" s="5">
        <v>1827.7905499999999</v>
      </c>
      <c r="C156">
        <f t="shared" si="2"/>
        <v>9.8781879935703198E-3</v>
      </c>
    </row>
    <row r="157" spans="1:3" x14ac:dyDescent="0.3">
      <c r="A157" s="4" t="s">
        <v>154</v>
      </c>
      <c r="B157" s="5">
        <v>1842.42319</v>
      </c>
      <c r="C157">
        <f t="shared" si="2"/>
        <v>8.0056437538753578E-3</v>
      </c>
    </row>
    <row r="158" spans="1:3" x14ac:dyDescent="0.3">
      <c r="A158" s="4" t="s">
        <v>155</v>
      </c>
      <c r="B158" s="5">
        <v>1859.4485999999999</v>
      </c>
      <c r="C158">
        <f t="shared" si="2"/>
        <v>9.2407705745387592E-3</v>
      </c>
    </row>
    <row r="159" spans="1:3" x14ac:dyDescent="0.3">
      <c r="A159" s="4" t="s">
        <v>156</v>
      </c>
      <c r="B159" s="5">
        <v>1875.06493</v>
      </c>
      <c r="C159">
        <f t="shared" si="2"/>
        <v>8.3983660532482851E-3</v>
      </c>
    </row>
    <row r="160" spans="1:3" x14ac:dyDescent="0.3">
      <c r="A160" s="4" t="s">
        <v>157</v>
      </c>
      <c r="B160" s="5">
        <v>1890.8049799999999</v>
      </c>
      <c r="C160">
        <f t="shared" si="2"/>
        <v>8.3944026407660743E-3</v>
      </c>
    </row>
    <row r="161" spans="1:3" x14ac:dyDescent="0.3">
      <c r="A161" s="4" t="s">
        <v>158</v>
      </c>
      <c r="B161" s="5">
        <v>1908.2372600000001</v>
      </c>
      <c r="C161">
        <f t="shared" si="2"/>
        <v>9.219501844130118E-3</v>
      </c>
    </row>
    <row r="162" spans="1:3" x14ac:dyDescent="0.3">
      <c r="A162" s="4" t="s">
        <v>159</v>
      </c>
      <c r="B162" s="5">
        <v>1923.4082100000001</v>
      </c>
      <c r="C162">
        <f t="shared" si="2"/>
        <v>7.9502430426288129E-3</v>
      </c>
    </row>
    <row r="163" spans="1:3" x14ac:dyDescent="0.3">
      <c r="A163" s="4" t="s">
        <v>160</v>
      </c>
      <c r="B163" s="5">
        <v>1939.53675</v>
      </c>
      <c r="C163">
        <f t="shared" si="2"/>
        <v>8.3853962544955252E-3</v>
      </c>
    </row>
    <row r="164" spans="1:3" x14ac:dyDescent="0.3">
      <c r="A164" s="4" t="s">
        <v>161</v>
      </c>
      <c r="B164" s="5">
        <v>1956.9503500000001</v>
      </c>
      <c r="C164">
        <f t="shared" si="2"/>
        <v>8.9782263728697131E-3</v>
      </c>
    </row>
    <row r="165" spans="1:3" x14ac:dyDescent="0.3">
      <c r="A165" s="4" t="s">
        <v>162</v>
      </c>
      <c r="B165" s="5">
        <v>1973.9996900000001</v>
      </c>
      <c r="C165">
        <f t="shared" si="2"/>
        <v>8.7121985491354081E-3</v>
      </c>
    </row>
    <row r="166" spans="1:3" x14ac:dyDescent="0.3">
      <c r="A166" s="4" t="s">
        <v>163</v>
      </c>
      <c r="B166" s="5">
        <v>1992.7176300000001</v>
      </c>
      <c r="C166">
        <f t="shared" si="2"/>
        <v>9.4822405975150126E-3</v>
      </c>
    </row>
    <row r="167" spans="1:3" x14ac:dyDescent="0.3">
      <c r="A167" s="4" t="s">
        <v>164</v>
      </c>
      <c r="B167" s="5">
        <v>2013.925</v>
      </c>
      <c r="C167">
        <f t="shared" si="2"/>
        <v>1.0642436078612816E-2</v>
      </c>
    </row>
    <row r="168" spans="1:3" x14ac:dyDescent="0.3">
      <c r="A168" s="4" t="s">
        <v>165</v>
      </c>
      <c r="B168" s="5">
        <v>2034.3224700000001</v>
      </c>
      <c r="C168">
        <f t="shared" si="2"/>
        <v>1.0128217287138419E-2</v>
      </c>
    </row>
    <row r="169" spans="1:3" x14ac:dyDescent="0.3">
      <c r="A169" s="4" t="s">
        <v>166</v>
      </c>
      <c r="B169" s="5">
        <v>2056.6699600000002</v>
      </c>
      <c r="C169">
        <f t="shared" si="2"/>
        <v>1.0985224972715368E-2</v>
      </c>
    </row>
    <row r="170" spans="1:3" x14ac:dyDescent="0.3">
      <c r="A170" s="4" t="s">
        <v>167</v>
      </c>
      <c r="B170" s="5">
        <v>2080.8123999999998</v>
      </c>
      <c r="C170">
        <f t="shared" si="2"/>
        <v>1.173860681078831E-2</v>
      </c>
    </row>
    <row r="171" spans="1:3" x14ac:dyDescent="0.3">
      <c r="A171" s="4" t="s">
        <v>168</v>
      </c>
      <c r="B171" s="5">
        <v>2101.53379</v>
      </c>
      <c r="C171">
        <f t="shared" si="2"/>
        <v>9.9583172418620247E-3</v>
      </c>
    </row>
    <row r="172" spans="1:3" x14ac:dyDescent="0.3">
      <c r="A172" s="4" t="s">
        <v>169</v>
      </c>
      <c r="B172" s="5">
        <v>2124.8829799999999</v>
      </c>
      <c r="C172">
        <f t="shared" si="2"/>
        <v>1.1110547025751094E-2</v>
      </c>
    </row>
    <row r="173" spans="1:3" x14ac:dyDescent="0.3">
      <c r="A173" s="4" t="s">
        <v>170</v>
      </c>
      <c r="B173" s="5">
        <v>2147.0410200000001</v>
      </c>
      <c r="C173">
        <f t="shared" si="2"/>
        <v>1.0427887186521767E-2</v>
      </c>
    </row>
    <row r="174" spans="1:3" x14ac:dyDescent="0.3">
      <c r="A174" s="4" t="s">
        <v>171</v>
      </c>
      <c r="B174" s="5">
        <v>2165.3491300000001</v>
      </c>
      <c r="C174">
        <f t="shared" si="2"/>
        <v>8.5271356389828856E-3</v>
      </c>
    </row>
    <row r="175" spans="1:3" x14ac:dyDescent="0.3">
      <c r="A175" s="4" t="s">
        <v>172</v>
      </c>
      <c r="B175" s="5">
        <v>2186.2781599999998</v>
      </c>
      <c r="C175">
        <f t="shared" si="2"/>
        <v>9.6654297960716562E-3</v>
      </c>
    </row>
    <row r="176" spans="1:3" x14ac:dyDescent="0.3">
      <c r="A176" s="4" t="s">
        <v>173</v>
      </c>
      <c r="B176" s="5">
        <v>2204.54684</v>
      </c>
      <c r="C176">
        <f t="shared" si="2"/>
        <v>8.3560638962794087E-3</v>
      </c>
    </row>
    <row r="177" spans="1:3" x14ac:dyDescent="0.3">
      <c r="A177" s="4" t="s">
        <v>174</v>
      </c>
      <c r="B177" s="5">
        <v>2221.4445000000001</v>
      </c>
      <c r="C177">
        <f t="shared" si="2"/>
        <v>7.6649131211019572E-3</v>
      </c>
    </row>
    <row r="178" spans="1:3" x14ac:dyDescent="0.3">
      <c r="A178" s="4" t="s">
        <v>175</v>
      </c>
      <c r="B178" s="5">
        <v>2238.1371800000002</v>
      </c>
      <c r="C178">
        <f t="shared" si="2"/>
        <v>7.5143358296820839E-3</v>
      </c>
    </row>
    <row r="179" spans="1:3" x14ac:dyDescent="0.3">
      <c r="A179" s="4" t="s">
        <v>176</v>
      </c>
      <c r="B179" s="5">
        <v>2255.6860099999999</v>
      </c>
      <c r="C179">
        <f t="shared" si="2"/>
        <v>7.8408196587842482E-3</v>
      </c>
    </row>
    <row r="180" spans="1:3" x14ac:dyDescent="0.3">
      <c r="A180" s="4" t="s">
        <v>177</v>
      </c>
      <c r="B180" s="5">
        <v>2271.2831900000001</v>
      </c>
      <c r="C180">
        <f t="shared" si="2"/>
        <v>6.9146059916380676E-3</v>
      </c>
    </row>
    <row r="181" spans="1:3" x14ac:dyDescent="0.3">
      <c r="A181" s="4" t="s">
        <v>178</v>
      </c>
      <c r="B181" s="5">
        <v>2286.9899</v>
      </c>
      <c r="C181">
        <f t="shared" si="2"/>
        <v>6.9153463861986175E-3</v>
      </c>
    </row>
    <row r="182" spans="1:3" x14ac:dyDescent="0.3">
      <c r="A182" s="4" t="s">
        <v>179</v>
      </c>
      <c r="B182" s="5">
        <v>2302.79765</v>
      </c>
      <c r="C182">
        <f t="shared" si="2"/>
        <v>6.9120331489000986E-3</v>
      </c>
    </row>
    <row r="183" spans="1:3" x14ac:dyDescent="0.3">
      <c r="A183" s="4" t="s">
        <v>180</v>
      </c>
      <c r="B183" s="5">
        <v>2317.9734600000002</v>
      </c>
      <c r="C183">
        <f t="shared" si="2"/>
        <v>6.5901621881541139E-3</v>
      </c>
    </row>
    <row r="184" spans="1:3" x14ac:dyDescent="0.3">
      <c r="A184" s="4" t="s">
        <v>181</v>
      </c>
      <c r="B184" s="5">
        <v>2334.7527799999998</v>
      </c>
      <c r="C184">
        <f t="shared" si="2"/>
        <v>7.238788661540374E-3</v>
      </c>
    </row>
    <row r="185" spans="1:3" x14ac:dyDescent="0.3">
      <c r="A185" s="4" t="s">
        <v>182</v>
      </c>
      <c r="B185" s="5">
        <v>2350.1202899999998</v>
      </c>
      <c r="C185">
        <f t="shared" si="2"/>
        <v>6.5820716144515679E-3</v>
      </c>
    </row>
    <row r="186" spans="1:3" x14ac:dyDescent="0.3">
      <c r="A186" s="4" t="s">
        <v>183</v>
      </c>
      <c r="B186" s="5">
        <v>2364.0448500000002</v>
      </c>
      <c r="C186">
        <f t="shared" si="2"/>
        <v>5.925041394370556E-3</v>
      </c>
    </row>
    <row r="187" spans="1:3" x14ac:dyDescent="0.3">
      <c r="A187" s="4" t="s">
        <v>184</v>
      </c>
      <c r="B187" s="5">
        <v>2381.9391300000002</v>
      </c>
      <c r="C187">
        <f t="shared" si="2"/>
        <v>7.5693487794870062E-3</v>
      </c>
    </row>
    <row r="188" spans="1:3" x14ac:dyDescent="0.3">
      <c r="A188" s="4" t="s">
        <v>185</v>
      </c>
      <c r="B188" s="5">
        <v>2397.7542600000002</v>
      </c>
      <c r="C188">
        <f t="shared" si="2"/>
        <v>6.6396029188202643E-3</v>
      </c>
    </row>
    <row r="189" spans="1:3" x14ac:dyDescent="0.3">
      <c r="A189" s="4" t="s">
        <v>186</v>
      </c>
      <c r="B189" s="5">
        <v>2415.7396699999999</v>
      </c>
      <c r="C189">
        <f t="shared" si="2"/>
        <v>7.5009396500873571E-3</v>
      </c>
    </row>
    <row r="190" spans="1:3" x14ac:dyDescent="0.3">
      <c r="A190" s="4" t="s">
        <v>187</v>
      </c>
      <c r="B190" s="5">
        <v>2434.8440300000002</v>
      </c>
      <c r="C190">
        <f t="shared" si="2"/>
        <v>7.908285912281432E-3</v>
      </c>
    </row>
    <row r="191" spans="1:3" x14ac:dyDescent="0.3">
      <c r="A191" s="4" t="s">
        <v>188</v>
      </c>
      <c r="B191" s="5">
        <v>2455.7645299999999</v>
      </c>
      <c r="C191">
        <f t="shared" si="2"/>
        <v>8.5921314639605395E-3</v>
      </c>
    </row>
    <row r="192" spans="1:3" x14ac:dyDescent="0.3">
      <c r="A192" s="4" t="s">
        <v>189</v>
      </c>
      <c r="B192" s="5">
        <v>2477.5299799999998</v>
      </c>
      <c r="C192">
        <f t="shared" si="2"/>
        <v>8.8630036528787315E-3</v>
      </c>
    </row>
    <row r="193" spans="1:3" x14ac:dyDescent="0.3">
      <c r="A193" s="4" t="s">
        <v>190</v>
      </c>
      <c r="B193" s="5">
        <v>2498.4543100000001</v>
      </c>
      <c r="C193">
        <f t="shared" si="2"/>
        <v>8.4456414933071766E-3</v>
      </c>
    </row>
    <row r="194" spans="1:3" x14ac:dyDescent="0.3">
      <c r="A194" s="4" t="s">
        <v>191</v>
      </c>
      <c r="B194" s="5">
        <v>2518.5834599999998</v>
      </c>
      <c r="C194">
        <f t="shared" si="2"/>
        <v>8.0566412279117205E-3</v>
      </c>
    </row>
    <row r="195" spans="1:3" x14ac:dyDescent="0.3">
      <c r="A195" s="4" t="s">
        <v>192</v>
      </c>
      <c r="B195" s="5">
        <v>2538.8738899999998</v>
      </c>
      <c r="C195">
        <f t="shared" si="2"/>
        <v>8.0562865286186724E-3</v>
      </c>
    </row>
    <row r="196" spans="1:3" x14ac:dyDescent="0.3">
      <c r="A196" s="4" t="s">
        <v>193</v>
      </c>
      <c r="B196" s="5">
        <v>2562.4130700000001</v>
      </c>
      <c r="C196">
        <f t="shared" si="2"/>
        <v>9.2715042258362246E-3</v>
      </c>
    </row>
    <row r="197" spans="1:3" x14ac:dyDescent="0.3">
      <c r="A197" s="4" t="s">
        <v>194</v>
      </c>
      <c r="B197" s="5">
        <v>2584.4649899999999</v>
      </c>
      <c r="C197">
        <f t="shared" si="2"/>
        <v>8.6059192634386772E-3</v>
      </c>
    </row>
    <row r="198" spans="1:3" x14ac:dyDescent="0.3">
      <c r="A198" s="4" t="s">
        <v>195</v>
      </c>
      <c r="B198" s="5">
        <v>2606.2372700000001</v>
      </c>
      <c r="C198">
        <f t="shared" si="2"/>
        <v>8.4242890053620734E-3</v>
      </c>
    </row>
    <row r="199" spans="1:3" x14ac:dyDescent="0.3">
      <c r="A199" s="4" t="s">
        <v>196</v>
      </c>
      <c r="B199" s="5">
        <v>2630.18469</v>
      </c>
      <c r="C199">
        <f t="shared" si="2"/>
        <v>9.1885033936300875E-3</v>
      </c>
    </row>
    <row r="200" spans="1:3" x14ac:dyDescent="0.3">
      <c r="A200" s="4" t="s">
        <v>197</v>
      </c>
      <c r="B200" s="5">
        <v>2652.2466800000002</v>
      </c>
      <c r="C200">
        <f t="shared" si="2"/>
        <v>8.3880003118717017E-3</v>
      </c>
    </row>
    <row r="201" spans="1:3" x14ac:dyDescent="0.3">
      <c r="A201" s="4" t="s">
        <v>198</v>
      </c>
      <c r="B201" s="5">
        <v>2678.3784000000001</v>
      </c>
      <c r="C201">
        <f t="shared" si="2"/>
        <v>9.8526732815062967E-3</v>
      </c>
    </row>
    <row r="202" spans="1:3" x14ac:dyDescent="0.3">
      <c r="A202" s="4" t="s">
        <v>199</v>
      </c>
      <c r="B202" s="5">
        <v>2703.8944299999998</v>
      </c>
      <c r="C202">
        <f t="shared" si="2"/>
        <v>9.5266710633568064E-3</v>
      </c>
    </row>
    <row r="203" spans="1:3" x14ac:dyDescent="0.3">
      <c r="A203" s="4" t="s">
        <v>200</v>
      </c>
      <c r="B203" s="5">
        <v>2730.0302299999998</v>
      </c>
      <c r="C203">
        <f t="shared" si="2"/>
        <v>9.6659838897630301E-3</v>
      </c>
    </row>
    <row r="204" spans="1:3" x14ac:dyDescent="0.3">
      <c r="A204" s="4" t="s">
        <v>201</v>
      </c>
      <c r="B204" s="5">
        <v>2759.3066699999999</v>
      </c>
      <c r="C204">
        <f t="shared" si="2"/>
        <v>1.0723851947969099E-2</v>
      </c>
    </row>
    <row r="205" spans="1:3" x14ac:dyDescent="0.3">
      <c r="A205" s="4" t="s">
        <v>202</v>
      </c>
      <c r="B205" s="5">
        <v>2785.2383399999999</v>
      </c>
      <c r="C205">
        <f t="shared" si="2"/>
        <v>9.3978934208136522E-3</v>
      </c>
    </row>
    <row r="206" spans="1:3" x14ac:dyDescent="0.3">
      <c r="A206" s="4" t="s">
        <v>203</v>
      </c>
      <c r="B206" s="5">
        <v>2809.76908</v>
      </c>
      <c r="C206">
        <f t="shared" si="2"/>
        <v>8.8074114332348241E-3</v>
      </c>
    </row>
    <row r="207" spans="1:3" x14ac:dyDescent="0.3">
      <c r="A207" s="4" t="s">
        <v>204</v>
      </c>
      <c r="B207" s="5">
        <v>2833.89419</v>
      </c>
      <c r="C207">
        <f t="shared" si="2"/>
        <v>8.5861539909890539E-3</v>
      </c>
    </row>
    <row r="208" spans="1:3" x14ac:dyDescent="0.3">
      <c r="A208" s="4" t="s">
        <v>205</v>
      </c>
      <c r="B208" s="5">
        <v>2859.5314400000002</v>
      </c>
      <c r="C208">
        <f t="shared" si="2"/>
        <v>9.0466503973460899E-3</v>
      </c>
    </row>
    <row r="209" spans="1:3" x14ac:dyDescent="0.3">
      <c r="A209" s="4" t="s">
        <v>206</v>
      </c>
      <c r="B209" s="5">
        <v>2884.8468800000001</v>
      </c>
      <c r="C209">
        <f t="shared" si="2"/>
        <v>8.8530028542017636E-3</v>
      </c>
    </row>
    <row r="210" spans="1:3" x14ac:dyDescent="0.3">
      <c r="A210" s="4" t="s">
        <v>207</v>
      </c>
      <c r="B210" s="5">
        <v>2906.2406799999999</v>
      </c>
      <c r="C210">
        <f t="shared" si="2"/>
        <v>7.4159221927230234E-3</v>
      </c>
    </row>
    <row r="211" spans="1:3" x14ac:dyDescent="0.3">
      <c r="A211" s="4" t="s">
        <v>208</v>
      </c>
      <c r="B211" s="5">
        <v>2929.7316900000001</v>
      </c>
      <c r="C211">
        <f t="shared" si="2"/>
        <v>8.0829540931208754E-3</v>
      </c>
    </row>
    <row r="212" spans="1:3" x14ac:dyDescent="0.3">
      <c r="A212" s="4" t="s">
        <v>209</v>
      </c>
      <c r="B212" s="5">
        <v>2950.2370999999998</v>
      </c>
      <c r="C212">
        <f t="shared" si="2"/>
        <v>6.9990743759882346E-3</v>
      </c>
    </row>
    <row r="213" spans="1:3" x14ac:dyDescent="0.3">
      <c r="A213" s="4" t="s">
        <v>210</v>
      </c>
      <c r="B213" s="5">
        <v>2971.8470900000002</v>
      </c>
      <c r="C213">
        <f t="shared" ref="C213:C276" si="3">(B213/B212)-1</f>
        <v>7.324831621160266E-3</v>
      </c>
    </row>
    <row r="214" spans="1:3" x14ac:dyDescent="0.3">
      <c r="A214" s="4" t="s">
        <v>211</v>
      </c>
      <c r="B214" s="5">
        <v>2990.8248400000002</v>
      </c>
      <c r="C214">
        <f t="shared" si="3"/>
        <v>6.385843357775256E-3</v>
      </c>
    </row>
    <row r="215" spans="1:3" x14ac:dyDescent="0.3">
      <c r="A215" s="4" t="s">
        <v>212</v>
      </c>
      <c r="B215" s="5">
        <v>3011.0253200000002</v>
      </c>
      <c r="C215">
        <f t="shared" si="3"/>
        <v>6.7541501360541822E-3</v>
      </c>
    </row>
    <row r="216" spans="1:3" x14ac:dyDescent="0.3">
      <c r="A216" s="4" t="s">
        <v>213</v>
      </c>
      <c r="B216" s="5">
        <v>3031.69769</v>
      </c>
      <c r="C216">
        <f t="shared" si="3"/>
        <v>6.8655583407712939E-3</v>
      </c>
    </row>
    <row r="217" spans="1:3" x14ac:dyDescent="0.3">
      <c r="A217" s="4" t="s">
        <v>214</v>
      </c>
      <c r="B217" s="5">
        <v>3047.9834300000002</v>
      </c>
      <c r="C217">
        <f t="shared" si="3"/>
        <v>5.3718218850509203E-3</v>
      </c>
    </row>
    <row r="218" spans="1:3" x14ac:dyDescent="0.3">
      <c r="A218" s="4" t="s">
        <v>215</v>
      </c>
      <c r="B218" s="5">
        <v>3066.4933799999999</v>
      </c>
      <c r="C218">
        <f t="shared" si="3"/>
        <v>6.0728512556249559E-3</v>
      </c>
    </row>
    <row r="219" spans="1:3" x14ac:dyDescent="0.3">
      <c r="A219" s="4" t="s">
        <v>216</v>
      </c>
      <c r="B219" s="5">
        <v>3083.1902100000002</v>
      </c>
      <c r="C219">
        <f t="shared" si="3"/>
        <v>5.4449261520990166E-3</v>
      </c>
    </row>
    <row r="220" spans="1:3" x14ac:dyDescent="0.3">
      <c r="A220" s="4" t="s">
        <v>217</v>
      </c>
      <c r="B220" s="5">
        <v>3099.6617700000002</v>
      </c>
      <c r="C220">
        <f t="shared" si="3"/>
        <v>5.342375551977474E-3</v>
      </c>
    </row>
    <row r="221" spans="1:3" x14ac:dyDescent="0.3">
      <c r="A221" s="4" t="s">
        <v>218</v>
      </c>
      <c r="B221" s="5">
        <v>3117.8454700000002</v>
      </c>
      <c r="C221">
        <f t="shared" si="3"/>
        <v>5.8663497340227799E-3</v>
      </c>
    </row>
    <row r="222" spans="1:3" x14ac:dyDescent="0.3">
      <c r="A222" s="4" t="s">
        <v>219</v>
      </c>
      <c r="B222" s="5">
        <v>3132.8602700000001</v>
      </c>
      <c r="C222">
        <f t="shared" si="3"/>
        <v>4.8157614431096896E-3</v>
      </c>
    </row>
    <row r="223" spans="1:3" x14ac:dyDescent="0.3">
      <c r="A223" s="4" t="s">
        <v>220</v>
      </c>
      <c r="B223" s="5">
        <v>3149.70595</v>
      </c>
      <c r="C223">
        <f t="shared" si="3"/>
        <v>5.377092671930761E-3</v>
      </c>
    </row>
    <row r="224" spans="1:3" x14ac:dyDescent="0.3">
      <c r="A224" s="4" t="s">
        <v>221</v>
      </c>
      <c r="B224" s="5">
        <v>3168.6307200000001</v>
      </c>
      <c r="C224">
        <f t="shared" si="3"/>
        <v>6.0084243737101861E-3</v>
      </c>
    </row>
    <row r="225" spans="1:3" x14ac:dyDescent="0.3">
      <c r="A225" s="4" t="s">
        <v>222</v>
      </c>
      <c r="B225" s="5">
        <v>3187.16273</v>
      </c>
      <c r="C225">
        <f t="shared" si="3"/>
        <v>5.848586230963404E-3</v>
      </c>
    </row>
    <row r="226" spans="1:3" x14ac:dyDescent="0.3">
      <c r="A226" s="4" t="s">
        <v>223</v>
      </c>
      <c r="B226" s="5">
        <v>3206.0289400000001</v>
      </c>
      <c r="C226">
        <f t="shared" si="3"/>
        <v>5.9194373172153369E-3</v>
      </c>
    </row>
    <row r="227" spans="1:3" x14ac:dyDescent="0.3">
      <c r="A227" s="4" t="s">
        <v>224</v>
      </c>
      <c r="B227" s="5">
        <v>3228.75308</v>
      </c>
      <c r="C227">
        <f t="shared" si="3"/>
        <v>7.0879397613921036E-3</v>
      </c>
    </row>
    <row r="228" spans="1:3" x14ac:dyDescent="0.3">
      <c r="A228" s="4" t="s">
        <v>225</v>
      </c>
      <c r="B228" s="5">
        <v>3251.21837</v>
      </c>
      <c r="C228">
        <f t="shared" si="3"/>
        <v>6.9578841872912633E-3</v>
      </c>
    </row>
    <row r="229" spans="1:3" x14ac:dyDescent="0.3">
      <c r="A229" s="4" t="s">
        <v>226</v>
      </c>
      <c r="B229" s="5">
        <v>3273.9491200000002</v>
      </c>
      <c r="C229">
        <f t="shared" si="3"/>
        <v>6.9914559445602986E-3</v>
      </c>
    </row>
    <row r="230" spans="1:3" x14ac:dyDescent="0.3">
      <c r="A230" s="4" t="s">
        <v>227</v>
      </c>
      <c r="B230" s="5">
        <v>3300.25101</v>
      </c>
      <c r="C230">
        <f t="shared" si="3"/>
        <v>8.0336892956966999E-3</v>
      </c>
    </row>
    <row r="231" spans="1:3" x14ac:dyDescent="0.3">
      <c r="A231" s="4" t="s">
        <v>228</v>
      </c>
      <c r="B231" s="5">
        <v>3323.6999500000002</v>
      </c>
      <c r="C231">
        <f t="shared" si="3"/>
        <v>7.105198946670388E-3</v>
      </c>
    </row>
    <row r="232" spans="1:3" x14ac:dyDescent="0.3">
      <c r="A232" s="4" t="s">
        <v>229</v>
      </c>
      <c r="B232" s="5">
        <v>3349.63744</v>
      </c>
      <c r="C232">
        <f t="shared" si="3"/>
        <v>7.8038000993441159E-3</v>
      </c>
    </row>
    <row r="233" spans="1:3" x14ac:dyDescent="0.3">
      <c r="A233" s="4" t="s">
        <v>230</v>
      </c>
      <c r="B233" s="5">
        <v>3377.76685</v>
      </c>
      <c r="C233">
        <f t="shared" si="3"/>
        <v>8.3977476678789298E-3</v>
      </c>
    </row>
    <row r="234" spans="1:3" x14ac:dyDescent="0.3">
      <c r="A234" s="4" t="s">
        <v>231</v>
      </c>
      <c r="B234" s="5">
        <v>3404.2037099999998</v>
      </c>
      <c r="C234">
        <f t="shared" si="3"/>
        <v>7.8267272946916933E-3</v>
      </c>
    </row>
    <row r="235" spans="1:3" x14ac:dyDescent="0.3">
      <c r="A235" s="4" t="s">
        <v>232</v>
      </c>
      <c r="B235" s="5">
        <v>3430.0739100000001</v>
      </c>
      <c r="C235">
        <f t="shared" si="3"/>
        <v>7.5994864596398148E-3</v>
      </c>
    </row>
    <row r="236" spans="1:3" x14ac:dyDescent="0.3">
      <c r="A236" s="4" t="s">
        <v>233</v>
      </c>
      <c r="B236" s="5">
        <v>3458.0446099999999</v>
      </c>
      <c r="C236">
        <f t="shared" si="3"/>
        <v>8.15454731702836E-3</v>
      </c>
    </row>
    <row r="237" spans="1:3" x14ac:dyDescent="0.3">
      <c r="A237" s="4" t="s">
        <v>234</v>
      </c>
      <c r="B237" s="5">
        <v>3487.7250300000001</v>
      </c>
      <c r="C237">
        <f t="shared" si="3"/>
        <v>8.5830066836529717E-3</v>
      </c>
    </row>
    <row r="238" spans="1:3" x14ac:dyDescent="0.3">
      <c r="A238" s="4" t="s">
        <v>235</v>
      </c>
      <c r="B238" s="5">
        <v>3516.2339200000001</v>
      </c>
      <c r="C238">
        <f t="shared" si="3"/>
        <v>8.1740646853689647E-3</v>
      </c>
    </row>
    <row r="239" spans="1:3" x14ac:dyDescent="0.3">
      <c r="A239" s="4" t="s">
        <v>236</v>
      </c>
      <c r="B239" s="5">
        <v>3549.3015399999999</v>
      </c>
      <c r="C239">
        <f t="shared" si="3"/>
        <v>9.4042719433182764E-3</v>
      </c>
    </row>
    <row r="240" spans="1:3" x14ac:dyDescent="0.3">
      <c r="A240" s="4" t="s">
        <v>237</v>
      </c>
      <c r="B240" s="5">
        <v>3579.8087999999998</v>
      </c>
      <c r="C240">
        <f t="shared" si="3"/>
        <v>8.5952854825628311E-3</v>
      </c>
    </row>
    <row r="241" spans="1:3" x14ac:dyDescent="0.3">
      <c r="A241" s="4" t="s">
        <v>238</v>
      </c>
      <c r="B241" s="5">
        <v>3612.0479799999998</v>
      </c>
      <c r="C241">
        <f t="shared" si="3"/>
        <v>9.0058385241134076E-3</v>
      </c>
    </row>
    <row r="242" spans="1:3" x14ac:dyDescent="0.3">
      <c r="A242" s="4" t="s">
        <v>239</v>
      </c>
      <c r="B242" s="5">
        <v>3646.1745599999999</v>
      </c>
      <c r="C242">
        <f t="shared" si="3"/>
        <v>9.4479863470695591E-3</v>
      </c>
    </row>
    <row r="243" spans="1:3" x14ac:dyDescent="0.3">
      <c r="A243" s="4" t="s">
        <v>240</v>
      </c>
      <c r="B243" s="5">
        <v>3676.72424</v>
      </c>
      <c r="C243">
        <f t="shared" si="3"/>
        <v>8.3785566207230655E-3</v>
      </c>
    </row>
    <row r="244" spans="1:3" x14ac:dyDescent="0.3">
      <c r="A244" s="4" t="s">
        <v>241</v>
      </c>
      <c r="B244" s="5">
        <v>3711.8678500000001</v>
      </c>
      <c r="C244">
        <f t="shared" si="3"/>
        <v>9.5584024544630442E-3</v>
      </c>
    </row>
    <row r="245" spans="1:3" x14ac:dyDescent="0.3">
      <c r="A245" s="4" t="s">
        <v>242</v>
      </c>
      <c r="B245" s="5">
        <v>3746.3639499999999</v>
      </c>
      <c r="C245">
        <f t="shared" si="3"/>
        <v>9.2934612421613494E-3</v>
      </c>
    </row>
    <row r="246" spans="1:3" x14ac:dyDescent="0.3">
      <c r="A246" s="4" t="s">
        <v>243</v>
      </c>
      <c r="B246" s="5">
        <v>3777.0288700000001</v>
      </c>
      <c r="C246">
        <f t="shared" si="3"/>
        <v>8.1852485261075802E-3</v>
      </c>
    </row>
    <row r="247" spans="1:3" x14ac:dyDescent="0.3">
      <c r="A247" s="4" t="s">
        <v>244</v>
      </c>
      <c r="B247" s="5">
        <v>3816.1635700000002</v>
      </c>
      <c r="C247">
        <f t="shared" si="3"/>
        <v>1.0361239309245818E-2</v>
      </c>
    </row>
    <row r="248" spans="1:3" x14ac:dyDescent="0.3">
      <c r="A248" s="4" t="s">
        <v>245</v>
      </c>
      <c r="B248" s="5">
        <v>3852.3512900000001</v>
      </c>
      <c r="C248">
        <f t="shared" si="3"/>
        <v>9.4827486653041859E-3</v>
      </c>
    </row>
    <row r="249" spans="1:3" x14ac:dyDescent="0.3">
      <c r="A249" s="4" t="s">
        <v>246</v>
      </c>
      <c r="B249" s="5">
        <v>3890.25245</v>
      </c>
      <c r="C249">
        <f t="shared" si="3"/>
        <v>9.8384485595548465E-3</v>
      </c>
    </row>
    <row r="250" spans="1:3" x14ac:dyDescent="0.3">
      <c r="A250" s="4" t="s">
        <v>247</v>
      </c>
      <c r="B250" s="5">
        <v>3931.7159099999999</v>
      </c>
      <c r="C250">
        <f t="shared" si="3"/>
        <v>1.0658295453293665E-2</v>
      </c>
    </row>
    <row r="251" spans="1:3" x14ac:dyDescent="0.3">
      <c r="A251" s="4" t="s">
        <v>248</v>
      </c>
      <c r="B251" s="5">
        <v>3978.0046299999999</v>
      </c>
      <c r="C251">
        <f t="shared" si="3"/>
        <v>1.1773159877159101E-2</v>
      </c>
    </row>
    <row r="252" spans="1:3" x14ac:dyDescent="0.3">
      <c r="A252" s="4" t="s">
        <v>249</v>
      </c>
      <c r="B252" s="5">
        <v>4022.0605500000001</v>
      </c>
      <c r="C252">
        <f t="shared" si="3"/>
        <v>1.1074879015412264E-2</v>
      </c>
    </row>
    <row r="253" spans="1:3" x14ac:dyDescent="0.3">
      <c r="A253" s="4" t="s">
        <v>250</v>
      </c>
      <c r="B253" s="5">
        <v>4066.60437</v>
      </c>
      <c r="C253">
        <f t="shared" si="3"/>
        <v>1.1074875538609197E-2</v>
      </c>
    </row>
    <row r="254" spans="1:3" x14ac:dyDescent="0.3">
      <c r="A254" s="4" t="s">
        <v>251</v>
      </c>
      <c r="B254" s="5">
        <v>4111.6515099999997</v>
      </c>
      <c r="C254">
        <f t="shared" si="3"/>
        <v>1.1077335265835098E-2</v>
      </c>
    </row>
    <row r="255" spans="1:3" x14ac:dyDescent="0.3">
      <c r="A255" s="4" t="s">
        <v>252</v>
      </c>
      <c r="B255" s="5">
        <v>4155.0366800000002</v>
      </c>
      <c r="C255">
        <f t="shared" si="3"/>
        <v>1.0551762447396751E-2</v>
      </c>
    </row>
    <row r="256" spans="1:3" x14ac:dyDescent="0.3">
      <c r="A256" s="4" t="s">
        <v>253</v>
      </c>
      <c r="B256" s="5">
        <v>4203.2892499999998</v>
      </c>
      <c r="C256">
        <f t="shared" si="3"/>
        <v>1.1613031055119238E-2</v>
      </c>
    </row>
    <row r="257" spans="1:3" x14ac:dyDescent="0.3">
      <c r="A257" s="4" t="s">
        <v>254</v>
      </c>
      <c r="B257" s="5">
        <v>4247.6309899999997</v>
      </c>
      <c r="C257">
        <f t="shared" si="3"/>
        <v>1.0549295411920623E-2</v>
      </c>
    </row>
    <row r="258" spans="1:3" x14ac:dyDescent="0.3">
      <c r="A258" s="4" t="s">
        <v>255</v>
      </c>
      <c r="B258" s="5">
        <v>4290.1704099999997</v>
      </c>
      <c r="C258">
        <f t="shared" si="3"/>
        <v>1.0014857717195458E-2</v>
      </c>
    </row>
    <row r="259" spans="1:3" x14ac:dyDescent="0.3">
      <c r="A259" s="4" t="s">
        <v>256</v>
      </c>
      <c r="B259" s="5">
        <v>4339.9591200000004</v>
      </c>
      <c r="C259">
        <f t="shared" si="3"/>
        <v>1.1605298913988982E-2</v>
      </c>
    </row>
    <row r="260" spans="1:3" x14ac:dyDescent="0.3">
      <c r="A260" s="4" t="s">
        <v>257</v>
      </c>
      <c r="B260" s="5">
        <v>4385.7227999999996</v>
      </c>
      <c r="C260">
        <f t="shared" si="3"/>
        <v>1.0544726052626796E-2</v>
      </c>
    </row>
    <row r="261" spans="1:3" x14ac:dyDescent="0.3">
      <c r="A261" s="4" t="s">
        <v>258</v>
      </c>
      <c r="B261" s="5">
        <v>4434.2941199999996</v>
      </c>
      <c r="C261">
        <f t="shared" si="3"/>
        <v>1.107487231067128E-2</v>
      </c>
    </row>
    <row r="262" spans="1:3" x14ac:dyDescent="0.3">
      <c r="A262" s="4" t="s">
        <v>259</v>
      </c>
      <c r="B262" s="5">
        <v>4485.7554200000004</v>
      </c>
      <c r="C262">
        <f t="shared" si="3"/>
        <v>1.1605296944082966E-2</v>
      </c>
    </row>
    <row r="263" spans="1:3" x14ac:dyDescent="0.3">
      <c r="A263" s="4" t="s">
        <v>260</v>
      </c>
      <c r="B263" s="5">
        <v>4535.4345800000001</v>
      </c>
      <c r="C263">
        <f t="shared" si="3"/>
        <v>1.1074870417255189E-2</v>
      </c>
    </row>
    <row r="264" spans="1:3" x14ac:dyDescent="0.3">
      <c r="A264" s="4" t="s">
        <v>261</v>
      </c>
      <c r="B264" s="5">
        <v>4590.4766099999997</v>
      </c>
      <c r="C264">
        <f t="shared" si="3"/>
        <v>1.2135999104191608E-2</v>
      </c>
    </row>
    <row r="265" spans="1:3" x14ac:dyDescent="0.3">
      <c r="A265" s="4" t="s">
        <v>262</v>
      </c>
      <c r="B265" s="5">
        <v>4641.3155399999996</v>
      </c>
      <c r="C265">
        <f t="shared" si="3"/>
        <v>1.1074869631020778E-2</v>
      </c>
    </row>
    <row r="266" spans="1:3" x14ac:dyDescent="0.3">
      <c r="A266" s="4" t="s">
        <v>263</v>
      </c>
      <c r="B266" s="5">
        <v>4689.9304499999998</v>
      </c>
      <c r="C266">
        <f t="shared" si="3"/>
        <v>1.0474381580184433E-2</v>
      </c>
    </row>
    <row r="267" spans="1:3" x14ac:dyDescent="0.3">
      <c r="A267" s="4" t="s">
        <v>264</v>
      </c>
      <c r="B267" s="5">
        <v>4738.5597699999998</v>
      </c>
      <c r="C267">
        <f t="shared" si="3"/>
        <v>1.0368878711197071E-2</v>
      </c>
    </row>
    <row r="268" spans="1:3" x14ac:dyDescent="0.3">
      <c r="A268" s="4" t="s">
        <v>265</v>
      </c>
      <c r="B268" s="5">
        <v>4791.7151400000002</v>
      </c>
      <c r="C268">
        <f t="shared" si="3"/>
        <v>1.1217621509499454E-2</v>
      </c>
    </row>
    <row r="269" spans="1:3" x14ac:dyDescent="0.3">
      <c r="A269" s="4" t="s">
        <v>266</v>
      </c>
      <c r="B269" s="5">
        <v>4843.6844300000002</v>
      </c>
      <c r="C269">
        <f t="shared" si="3"/>
        <v>1.0845655153031597E-2</v>
      </c>
    </row>
    <row r="270" spans="1:3" x14ac:dyDescent="0.3">
      <c r="A270" s="4" t="s">
        <v>267</v>
      </c>
      <c r="B270" s="5">
        <v>4885.52477</v>
      </c>
      <c r="C270">
        <f t="shared" si="3"/>
        <v>8.6381226119638388E-3</v>
      </c>
    </row>
    <row r="271" spans="1:3" x14ac:dyDescent="0.3">
      <c r="A271" s="4" t="s">
        <v>268</v>
      </c>
      <c r="B271" s="5">
        <v>4936.8430799999996</v>
      </c>
      <c r="C271">
        <f t="shared" si="3"/>
        <v>1.0504155114538394E-2</v>
      </c>
    </row>
    <row r="272" spans="1:3" x14ac:dyDescent="0.3">
      <c r="A272" s="4" t="s">
        <v>269</v>
      </c>
      <c r="B272" s="5">
        <v>4975.6118800000004</v>
      </c>
      <c r="C272">
        <f t="shared" si="3"/>
        <v>7.8529536733829008E-3</v>
      </c>
    </row>
    <row r="273" spans="1:3" x14ac:dyDescent="0.3">
      <c r="A273" s="4" t="s">
        <v>270</v>
      </c>
      <c r="B273" s="5">
        <v>5021.6638999999996</v>
      </c>
      <c r="C273">
        <f t="shared" si="3"/>
        <v>9.2555490883663438E-3</v>
      </c>
    </row>
    <row r="274" spans="1:3" x14ac:dyDescent="0.3">
      <c r="A274" s="4" t="s">
        <v>271</v>
      </c>
      <c r="B274" s="5">
        <v>5062.2439000000004</v>
      </c>
      <c r="C274">
        <f t="shared" si="3"/>
        <v>8.0809868617452985E-3</v>
      </c>
    </row>
    <row r="275" spans="1:3" x14ac:dyDescent="0.3">
      <c r="A275" s="4" t="s">
        <v>272</v>
      </c>
      <c r="B275" s="5">
        <v>5102.5977400000002</v>
      </c>
      <c r="C275">
        <f t="shared" si="3"/>
        <v>7.9715321500015701E-3</v>
      </c>
    </row>
    <row r="276" spans="1:3" x14ac:dyDescent="0.3">
      <c r="A276" s="4" t="s">
        <v>273</v>
      </c>
      <c r="B276" s="5">
        <v>5143.49262</v>
      </c>
      <c r="C276">
        <f t="shared" si="3"/>
        <v>8.0145216385409945E-3</v>
      </c>
    </row>
    <row r="277" spans="1:3" x14ac:dyDescent="0.3">
      <c r="A277" s="4" t="s">
        <v>274</v>
      </c>
      <c r="B277" s="5">
        <v>5176.2936399999999</v>
      </c>
      <c r="C277">
        <f t="shared" ref="C277:C340" si="4">(B277/B276)-1</f>
        <v>6.377188113861898E-3</v>
      </c>
    </row>
    <row r="278" spans="1:3" x14ac:dyDescent="0.3">
      <c r="A278" s="4" t="s">
        <v>275</v>
      </c>
      <c r="B278" s="5">
        <v>5209.5849399999997</v>
      </c>
      <c r="C278">
        <f t="shared" si="4"/>
        <v>6.4314937125553584E-3</v>
      </c>
    </row>
    <row r="279" spans="1:3" x14ac:dyDescent="0.3">
      <c r="A279" s="4" t="s">
        <v>276</v>
      </c>
      <c r="B279" s="5">
        <v>5239.1468500000001</v>
      </c>
      <c r="C279">
        <f t="shared" si="4"/>
        <v>5.6745230839829741E-3</v>
      </c>
    </row>
    <row r="280" spans="1:3" x14ac:dyDescent="0.3">
      <c r="A280" s="4" t="s">
        <v>277</v>
      </c>
      <c r="B280" s="5">
        <v>5267.3155399999996</v>
      </c>
      <c r="C280">
        <f t="shared" si="4"/>
        <v>5.376579585662844E-3</v>
      </c>
    </row>
    <row r="281" spans="1:3" x14ac:dyDescent="0.3">
      <c r="A281" s="4" t="s">
        <v>278</v>
      </c>
      <c r="B281" s="5">
        <v>5298.04432</v>
      </c>
      <c r="C281">
        <f t="shared" si="4"/>
        <v>5.8338597273404069E-3</v>
      </c>
    </row>
    <row r="282" spans="1:3" x14ac:dyDescent="0.3">
      <c r="A282" s="4" t="s">
        <v>279</v>
      </c>
      <c r="B282" s="5">
        <v>5322.6763700000001</v>
      </c>
      <c r="C282">
        <f t="shared" si="4"/>
        <v>4.6492721676589799E-3</v>
      </c>
    </row>
    <row r="283" spans="1:3" x14ac:dyDescent="0.3">
      <c r="A283" s="4" t="s">
        <v>280</v>
      </c>
      <c r="B283" s="5">
        <v>5350.9694200000004</v>
      </c>
      <c r="C283">
        <f t="shared" si="4"/>
        <v>5.3155683406691523E-3</v>
      </c>
    </row>
    <row r="284" spans="1:3" x14ac:dyDescent="0.3">
      <c r="A284" s="4" t="s">
        <v>281</v>
      </c>
      <c r="B284" s="5">
        <v>5378.6613699999998</v>
      </c>
      <c r="C284">
        <f t="shared" si="4"/>
        <v>5.1751276874236751E-3</v>
      </c>
    </row>
    <row r="285" spans="1:3" x14ac:dyDescent="0.3">
      <c r="A285" s="4" t="s">
        <v>282</v>
      </c>
      <c r="B285" s="5">
        <v>5406.4966299999996</v>
      </c>
      <c r="C285">
        <f t="shared" si="4"/>
        <v>5.1751278032214909E-3</v>
      </c>
    </row>
    <row r="286" spans="1:3" x14ac:dyDescent="0.3">
      <c r="A286" s="4" t="s">
        <v>283</v>
      </c>
      <c r="B286" s="5">
        <v>5434.47595</v>
      </c>
      <c r="C286">
        <f t="shared" si="4"/>
        <v>5.1751294627182531E-3</v>
      </c>
    </row>
    <row r="287" spans="1:3" x14ac:dyDescent="0.3">
      <c r="A287" s="4" t="s">
        <v>284</v>
      </c>
      <c r="B287" s="5">
        <v>5463.9429300000002</v>
      </c>
      <c r="C287">
        <f t="shared" si="4"/>
        <v>5.4222302704274306E-3</v>
      </c>
    </row>
    <row r="288" spans="1:3" x14ac:dyDescent="0.3">
      <c r="A288" s="4" t="s">
        <v>285</v>
      </c>
      <c r="B288" s="5">
        <v>5494.9201700000003</v>
      </c>
      <c r="C288">
        <f t="shared" si="4"/>
        <v>5.6693930366509271E-3</v>
      </c>
    </row>
    <row r="289" spans="1:3" x14ac:dyDescent="0.3">
      <c r="A289" s="4" t="s">
        <v>286</v>
      </c>
      <c r="B289" s="5">
        <v>5520.6424800000004</v>
      </c>
      <c r="C289">
        <f t="shared" si="4"/>
        <v>4.6811071324444065E-3</v>
      </c>
    </row>
    <row r="290" spans="1:3" x14ac:dyDescent="0.3">
      <c r="A290" s="4" t="s">
        <v>287</v>
      </c>
      <c r="B290" s="5">
        <v>5550.6222200000002</v>
      </c>
      <c r="C290">
        <f t="shared" si="4"/>
        <v>5.4304802581599532E-3</v>
      </c>
    </row>
    <row r="291" spans="1:3" x14ac:dyDescent="0.3">
      <c r="A291" s="4" t="s">
        <v>288</v>
      </c>
      <c r="B291" s="5">
        <v>5578.0177800000001</v>
      </c>
      <c r="C291">
        <f t="shared" si="4"/>
        <v>4.9355836002111797E-3</v>
      </c>
    </row>
    <row r="292" spans="1:3" x14ac:dyDescent="0.3">
      <c r="A292" s="4" t="s">
        <v>289</v>
      </c>
      <c r="B292" s="5">
        <v>5605.5485399999998</v>
      </c>
      <c r="C292">
        <f t="shared" si="4"/>
        <v>4.9355812558917744E-3</v>
      </c>
    </row>
    <row r="293" spans="1:3" x14ac:dyDescent="0.3">
      <c r="A293" s="4" t="s">
        <v>290</v>
      </c>
      <c r="B293" s="5">
        <v>5635.9893499999998</v>
      </c>
      <c r="C293">
        <f t="shared" si="4"/>
        <v>5.4304783524361522E-3</v>
      </c>
    </row>
    <row r="294" spans="1:3" x14ac:dyDescent="0.3">
      <c r="A294" s="4" t="s">
        <v>291</v>
      </c>
      <c r="B294" s="5">
        <v>5663.8062499999996</v>
      </c>
      <c r="C294">
        <f t="shared" si="4"/>
        <v>4.9355842022660301E-3</v>
      </c>
    </row>
    <row r="295" spans="1:3" x14ac:dyDescent="0.3">
      <c r="A295" s="4" t="s">
        <v>292</v>
      </c>
      <c r="B295" s="5">
        <v>5690.3594599999997</v>
      </c>
      <c r="C295">
        <f t="shared" si="4"/>
        <v>4.6882271087573812E-3</v>
      </c>
    </row>
    <row r="296" spans="1:3" x14ac:dyDescent="0.3">
      <c r="A296" s="4" t="s">
        <v>293</v>
      </c>
      <c r="B296" s="5">
        <v>5719.8526199999997</v>
      </c>
      <c r="C296">
        <f t="shared" si="4"/>
        <v>5.1830047306009597E-3</v>
      </c>
    </row>
    <row r="297" spans="1:3" x14ac:dyDescent="0.3">
      <c r="A297" s="4" t="s">
        <v>294</v>
      </c>
      <c r="B297" s="5">
        <v>5750.91417</v>
      </c>
      <c r="C297">
        <f t="shared" si="4"/>
        <v>5.4304808294169948E-3</v>
      </c>
    </row>
    <row r="298" spans="1:3" x14ac:dyDescent="0.3">
      <c r="A298" s="4" t="s">
        <v>295</v>
      </c>
      <c r="B298" s="5">
        <v>5777.8757800000003</v>
      </c>
      <c r="C298">
        <f t="shared" si="4"/>
        <v>4.688230288785622E-3</v>
      </c>
    </row>
    <row r="299" spans="1:3" x14ac:dyDescent="0.3">
      <c r="A299" s="4" t="s">
        <v>296</v>
      </c>
      <c r="B299" s="5">
        <v>5810.6826700000001</v>
      </c>
      <c r="C299">
        <f t="shared" si="4"/>
        <v>5.6780192667971185E-3</v>
      </c>
    </row>
    <row r="300" spans="1:3" x14ac:dyDescent="0.3">
      <c r="A300" s="4" t="s">
        <v>297</v>
      </c>
      <c r="B300" s="5">
        <v>5839.8355300000003</v>
      </c>
      <c r="C300">
        <f t="shared" si="4"/>
        <v>5.017114452061433E-3</v>
      </c>
    </row>
    <row r="301" spans="1:3" x14ac:dyDescent="0.3">
      <c r="A301" s="4" t="s">
        <v>298</v>
      </c>
      <c r="B301" s="5">
        <v>5866.9181600000002</v>
      </c>
      <c r="C301">
        <f t="shared" si="4"/>
        <v>4.6375672501173248E-3</v>
      </c>
    </row>
    <row r="302" spans="1:3" x14ac:dyDescent="0.3">
      <c r="A302" s="4" t="s">
        <v>299</v>
      </c>
      <c r="B302" s="5">
        <v>5895.0364399999999</v>
      </c>
      <c r="C302">
        <f t="shared" si="4"/>
        <v>4.792683182749613E-3</v>
      </c>
    </row>
    <row r="303" spans="1:3" x14ac:dyDescent="0.3">
      <c r="A303" s="4" t="s">
        <v>300</v>
      </c>
      <c r="B303" s="5">
        <v>5917.4601599999996</v>
      </c>
      <c r="C303">
        <f t="shared" si="4"/>
        <v>3.8038306002396993E-3</v>
      </c>
    </row>
    <row r="304" spans="1:3" x14ac:dyDescent="0.3">
      <c r="A304" s="4" t="s">
        <v>301</v>
      </c>
      <c r="B304" s="5">
        <v>5939.6327099999999</v>
      </c>
      <c r="C304">
        <f t="shared" si="4"/>
        <v>3.7469707273871666E-3</v>
      </c>
    </row>
    <row r="305" spans="1:3" x14ac:dyDescent="0.3">
      <c r="A305" s="4" t="s">
        <v>302</v>
      </c>
      <c r="B305" s="5">
        <v>5962.0027700000001</v>
      </c>
      <c r="C305">
        <f t="shared" si="4"/>
        <v>3.7662362459445209E-3</v>
      </c>
    </row>
    <row r="306" spans="1:3" x14ac:dyDescent="0.3">
      <c r="A306" s="4" t="s">
        <v>303</v>
      </c>
      <c r="B306" s="5">
        <v>5979.5147999999999</v>
      </c>
      <c r="C306">
        <f t="shared" si="4"/>
        <v>2.9372730398782299E-3</v>
      </c>
    </row>
    <row r="307" spans="1:3" x14ac:dyDescent="0.3">
      <c r="A307" s="4" t="s">
        <v>304</v>
      </c>
      <c r="B307" s="5">
        <v>5999.7476800000004</v>
      </c>
      <c r="C307">
        <f t="shared" si="4"/>
        <v>3.3836992927922527E-3</v>
      </c>
    </row>
    <row r="308" spans="1:3" x14ac:dyDescent="0.3">
      <c r="A308" s="4" t="s">
        <v>305</v>
      </c>
      <c r="B308" s="5">
        <v>6016.8425299999999</v>
      </c>
      <c r="C308">
        <f t="shared" si="4"/>
        <v>2.8492614876096667E-3</v>
      </c>
    </row>
    <row r="309" spans="1:3" x14ac:dyDescent="0.3">
      <c r="A309" s="4" t="s">
        <v>306</v>
      </c>
      <c r="B309" s="5">
        <v>6031.0306899999996</v>
      </c>
      <c r="C309">
        <f t="shared" si="4"/>
        <v>2.3580740112869591E-3</v>
      </c>
    </row>
    <row r="310" spans="1:3" x14ac:dyDescent="0.3">
      <c r="A310" s="4" t="s">
        <v>307</v>
      </c>
      <c r="B310" s="5">
        <v>6043.8362500000003</v>
      </c>
      <c r="C310">
        <f t="shared" si="4"/>
        <v>2.1232788652914003E-3</v>
      </c>
    </row>
    <row r="311" spans="1:3" x14ac:dyDescent="0.3">
      <c r="A311" s="4" t="s">
        <v>308</v>
      </c>
      <c r="B311" s="5">
        <v>6055.5817800000004</v>
      </c>
      <c r="C311">
        <f t="shared" si="4"/>
        <v>1.9433898461429511E-3</v>
      </c>
    </row>
    <row r="312" spans="1:3" x14ac:dyDescent="0.3">
      <c r="A312" s="4" t="s">
        <v>309</v>
      </c>
      <c r="B312" s="5">
        <v>6065.26422</v>
      </c>
      <c r="C312">
        <f t="shared" si="4"/>
        <v>1.5989281214858764E-3</v>
      </c>
    </row>
    <row r="313" spans="1:3" x14ac:dyDescent="0.3">
      <c r="A313" s="4" t="s">
        <v>310</v>
      </c>
      <c r="B313" s="5">
        <v>6074.7849299999998</v>
      </c>
      <c r="C313">
        <f t="shared" si="4"/>
        <v>1.5697106761822788E-3</v>
      </c>
    </row>
    <row r="314" spans="1:3" x14ac:dyDescent="0.3">
      <c r="A314" s="4" t="s">
        <v>311</v>
      </c>
      <c r="B314" s="5">
        <v>6084.3205799999996</v>
      </c>
      <c r="C314">
        <f t="shared" si="4"/>
        <v>1.5697098925937514E-3</v>
      </c>
    </row>
    <row r="315" spans="1:3" x14ac:dyDescent="0.3">
      <c r="A315" s="4" t="s">
        <v>312</v>
      </c>
      <c r="B315" s="5">
        <v>6093.41608</v>
      </c>
      <c r="C315">
        <f t="shared" si="4"/>
        <v>1.4949080805994885E-3</v>
      </c>
    </row>
    <row r="316" spans="1:3" x14ac:dyDescent="0.3">
      <c r="A316" s="4" t="s">
        <v>313</v>
      </c>
      <c r="B316" s="5">
        <v>6103.4368400000003</v>
      </c>
      <c r="C316">
        <f t="shared" si="4"/>
        <v>1.644522525368064E-3</v>
      </c>
    </row>
    <row r="317" spans="1:3" x14ac:dyDescent="0.3">
      <c r="A317" s="4" t="s">
        <v>314</v>
      </c>
      <c r="B317" s="5">
        <v>6112.5609000000004</v>
      </c>
      <c r="C317">
        <f t="shared" si="4"/>
        <v>1.4949052868382662E-3</v>
      </c>
    </row>
    <row r="318" spans="1:3" x14ac:dyDescent="0.3">
      <c r="A318" s="4" t="s">
        <v>315</v>
      </c>
      <c r="B318" s="5">
        <v>6120.7842199999996</v>
      </c>
      <c r="C318">
        <f t="shared" si="4"/>
        <v>1.3453150217284104E-3</v>
      </c>
    </row>
    <row r="319" spans="1:3" x14ac:dyDescent="0.3">
      <c r="A319" s="4" t="s">
        <v>316</v>
      </c>
      <c r="B319" s="5">
        <v>6133.09238</v>
      </c>
      <c r="C319">
        <f t="shared" si="4"/>
        <v>2.0108795797413315E-3</v>
      </c>
    </row>
    <row r="320" spans="1:3" x14ac:dyDescent="0.3">
      <c r="A320" s="4" t="s">
        <v>317</v>
      </c>
      <c r="B320" s="5">
        <v>6145.8366100000003</v>
      </c>
      <c r="C320">
        <f t="shared" si="4"/>
        <v>2.0779452208414817E-3</v>
      </c>
    </row>
    <row r="321" spans="1:3" x14ac:dyDescent="0.3">
      <c r="A321" s="4" t="s">
        <v>318</v>
      </c>
      <c r="B321" s="5">
        <v>6162.4501200000004</v>
      </c>
      <c r="C321">
        <f t="shared" si="4"/>
        <v>2.703213745215427E-3</v>
      </c>
    </row>
    <row r="322" spans="1:3" x14ac:dyDescent="0.3">
      <c r="A322" s="4" t="s">
        <v>319</v>
      </c>
      <c r="B322" s="5">
        <v>6181.4165999999996</v>
      </c>
      <c r="C322">
        <f t="shared" si="4"/>
        <v>3.0777498609593223E-3</v>
      </c>
    </row>
    <row r="323" spans="1:3" x14ac:dyDescent="0.3">
      <c r="A323" s="4" t="s">
        <v>320</v>
      </c>
      <c r="B323" s="5">
        <v>6203.3987399999996</v>
      </c>
      <c r="C323">
        <f t="shared" si="4"/>
        <v>3.5561654265463538E-3</v>
      </c>
    </row>
    <row r="324" spans="1:3" x14ac:dyDescent="0.3">
      <c r="A324" s="4" t="s">
        <v>321</v>
      </c>
      <c r="B324" s="5">
        <v>6229.9459100000004</v>
      </c>
      <c r="C324">
        <f t="shared" si="4"/>
        <v>4.2794556843206433E-3</v>
      </c>
    </row>
    <row r="325" spans="1:3" x14ac:dyDescent="0.3">
      <c r="A325" s="4" t="s">
        <v>322</v>
      </c>
      <c r="B325" s="5">
        <v>6257.4817499999999</v>
      </c>
      <c r="C325">
        <f t="shared" si="4"/>
        <v>4.4199163841536215E-3</v>
      </c>
    </row>
    <row r="326" spans="1:3" x14ac:dyDescent="0.3">
      <c r="A326" s="4" t="s">
        <v>323</v>
      </c>
      <c r="B326" s="5">
        <v>6287.89239</v>
      </c>
      <c r="C326">
        <f t="shared" si="4"/>
        <v>4.8598847291883018E-3</v>
      </c>
    </row>
    <row r="327" spans="1:3" x14ac:dyDescent="0.3">
      <c r="A327" s="4" t="s">
        <v>324</v>
      </c>
      <c r="B327" s="5">
        <v>6324.7868600000002</v>
      </c>
      <c r="C327">
        <f t="shared" si="4"/>
        <v>5.8675415722246882E-3</v>
      </c>
    </row>
    <row r="328" spans="1:3" x14ac:dyDescent="0.3">
      <c r="A328" s="4" t="s">
        <v>325</v>
      </c>
      <c r="B328" s="5">
        <v>6373.4300999999996</v>
      </c>
      <c r="C328">
        <f t="shared" si="4"/>
        <v>7.6908899978329615E-3</v>
      </c>
    </row>
    <row r="329" spans="1:3" x14ac:dyDescent="0.3">
      <c r="A329" s="4" t="s">
        <v>326</v>
      </c>
      <c r="B329" s="5">
        <v>6420.1011699999999</v>
      </c>
      <c r="C329">
        <f t="shared" si="4"/>
        <v>7.3227554500048253E-3</v>
      </c>
    </row>
    <row r="330" spans="1:3" x14ac:dyDescent="0.3">
      <c r="A330" s="4" t="s">
        <v>327</v>
      </c>
      <c r="B330" s="5">
        <v>6468.5750799999996</v>
      </c>
      <c r="C330">
        <f t="shared" si="4"/>
        <v>7.55033428857943E-3</v>
      </c>
    </row>
    <row r="331" spans="1:3" x14ac:dyDescent="0.3">
      <c r="A331" s="4" t="s">
        <v>328</v>
      </c>
      <c r="B331" s="5">
        <v>6528.5420999999997</v>
      </c>
      <c r="C331">
        <f t="shared" si="4"/>
        <v>9.2705146432341401E-3</v>
      </c>
    </row>
    <row r="332" spans="1:3" x14ac:dyDescent="0.3">
      <c r="A332" s="4" t="s">
        <v>329</v>
      </c>
      <c r="B332" s="5">
        <v>6583.0113499999998</v>
      </c>
      <c r="C332">
        <f t="shared" si="4"/>
        <v>8.3432486404584338E-3</v>
      </c>
    </row>
    <row r="333" spans="1:3" x14ac:dyDescent="0.3">
      <c r="A333" s="4" t="s">
        <v>330</v>
      </c>
      <c r="B333" s="5">
        <v>6651.1190100000003</v>
      </c>
      <c r="C333">
        <f t="shared" si="4"/>
        <v>1.0345973351542304E-2</v>
      </c>
    </row>
    <row r="334" spans="1:3" x14ac:dyDescent="0.3">
      <c r="A334" s="4" t="s">
        <v>331</v>
      </c>
      <c r="B334" s="5">
        <v>6718.6493399999999</v>
      </c>
      <c r="C334">
        <f t="shared" si="4"/>
        <v>1.0153228336234443E-2</v>
      </c>
    </row>
    <row r="335" spans="1:3" x14ac:dyDescent="0.3">
      <c r="A335" s="4" t="s">
        <v>332</v>
      </c>
      <c r="B335" s="5">
        <v>6788.1774599999999</v>
      </c>
      <c r="C335">
        <f t="shared" si="4"/>
        <v>1.0348526389978296E-2</v>
      </c>
    </row>
    <row r="336" spans="1:3" x14ac:dyDescent="0.3">
      <c r="A336" s="4" t="s">
        <v>333</v>
      </c>
      <c r="B336" s="5">
        <v>6867.5559300000004</v>
      </c>
      <c r="C336">
        <f t="shared" si="4"/>
        <v>1.1693635068874775E-2</v>
      </c>
    </row>
    <row r="337" spans="1:3" x14ac:dyDescent="0.3">
      <c r="A337" s="4" t="s">
        <v>334</v>
      </c>
      <c r="B337" s="5">
        <v>6941.1749600000003</v>
      </c>
      <c r="C337">
        <f t="shared" si="4"/>
        <v>1.0719829696385075E-2</v>
      </c>
    </row>
    <row r="338" spans="1:3" x14ac:dyDescent="0.3">
      <c r="A338" s="4" t="s">
        <v>335</v>
      </c>
      <c r="B338" s="5">
        <v>7012.0219100000004</v>
      </c>
      <c r="C338">
        <f t="shared" si="4"/>
        <v>1.0206766204319928E-2</v>
      </c>
    </row>
    <row r="339" spans="1:3" x14ac:dyDescent="0.3">
      <c r="A339" s="4" t="s">
        <v>336</v>
      </c>
      <c r="B339" s="5">
        <v>7083.5919800000001</v>
      </c>
      <c r="C339">
        <f t="shared" si="4"/>
        <v>1.0206766453186855E-2</v>
      </c>
    </row>
    <row r="340" spans="1:3" x14ac:dyDescent="0.3">
      <c r="A340" s="4" t="s">
        <v>337</v>
      </c>
      <c r="B340" s="5">
        <v>7163.1630500000001</v>
      </c>
      <c r="C340">
        <f t="shared" si="4"/>
        <v>1.1233152646942912E-2</v>
      </c>
    </row>
    <row r="341" spans="1:3" x14ac:dyDescent="0.3">
      <c r="A341" s="4" t="s">
        <v>338</v>
      </c>
      <c r="B341" s="5">
        <v>7243.6279800000002</v>
      </c>
      <c r="C341">
        <f t="shared" ref="C341:C367" si="5">(B341/B340)-1</f>
        <v>1.1233156280031853E-2</v>
      </c>
    </row>
    <row r="342" spans="1:3" x14ac:dyDescent="0.3">
      <c r="A342" s="4" t="s">
        <v>339</v>
      </c>
      <c r="B342" s="5">
        <v>7310.1347599999999</v>
      </c>
      <c r="C342">
        <f t="shared" si="5"/>
        <v>9.1814185079117649E-3</v>
      </c>
    </row>
    <row r="343" spans="1:3" x14ac:dyDescent="0.3">
      <c r="A343" s="4" t="s">
        <v>340</v>
      </c>
      <c r="B343" s="5">
        <v>7396.0050000000001</v>
      </c>
      <c r="C343">
        <f t="shared" si="5"/>
        <v>1.1746738304999393E-2</v>
      </c>
    </row>
    <row r="344" spans="1:3" x14ac:dyDescent="0.3">
      <c r="A344" s="4" t="s">
        <v>341</v>
      </c>
      <c r="B344" s="5">
        <v>7463.9107999999997</v>
      </c>
      <c r="C344">
        <f t="shared" si="5"/>
        <v>9.181416183466462E-3</v>
      </c>
    </row>
    <row r="345" spans="1:3" x14ac:dyDescent="0.3">
      <c r="A345" s="4" t="s">
        <v>342</v>
      </c>
      <c r="B345" s="5">
        <v>7547.7540900000004</v>
      </c>
      <c r="C345">
        <f t="shared" si="5"/>
        <v>1.1233158091867868E-2</v>
      </c>
    </row>
    <row r="346" spans="1:3" x14ac:dyDescent="0.3">
      <c r="A346" s="4" t="s">
        <v>343</v>
      </c>
      <c r="B346" s="5">
        <v>7628.6647300000004</v>
      </c>
      <c r="C346">
        <f t="shared" si="5"/>
        <v>1.0719829903732325E-2</v>
      </c>
    </row>
    <row r="347" spans="1:3" x14ac:dyDescent="0.3">
      <c r="A347" s="4" t="s">
        <v>344</v>
      </c>
      <c r="B347" s="5">
        <v>7710.4427299999998</v>
      </c>
      <c r="C347">
        <f t="shared" si="5"/>
        <v>1.071983143765709E-2</v>
      </c>
    </row>
    <row r="348" spans="1:3" x14ac:dyDescent="0.3">
      <c r="A348" s="4" t="s">
        <v>345</v>
      </c>
      <c r="B348" s="5">
        <v>7798.1495000000004</v>
      </c>
      <c r="C348">
        <f t="shared" si="5"/>
        <v>1.1375062765040633E-2</v>
      </c>
    </row>
    <row r="349" spans="1:3" x14ac:dyDescent="0.3">
      <c r="A349" s="4" t="s">
        <v>346</v>
      </c>
      <c r="B349" s="5">
        <v>7874.0184600000002</v>
      </c>
      <c r="C349">
        <f t="shared" si="5"/>
        <v>9.7290979097028885E-3</v>
      </c>
    </row>
    <row r="350" spans="1:3" x14ac:dyDescent="0.3">
      <c r="A350" s="4" t="s">
        <v>347</v>
      </c>
      <c r="B350" s="5">
        <v>7952.5674499999996</v>
      </c>
      <c r="C350">
        <f t="shared" si="5"/>
        <v>9.9757182941631051E-3</v>
      </c>
    </row>
    <row r="351" spans="1:3" x14ac:dyDescent="0.3">
      <c r="A351" s="4" t="s">
        <v>348</v>
      </c>
      <c r="B351" s="5">
        <v>8025.4122699999998</v>
      </c>
      <c r="C351">
        <f t="shared" si="5"/>
        <v>9.1599122494712137E-3</v>
      </c>
    </row>
    <row r="352" spans="1:3" x14ac:dyDescent="0.3">
      <c r="A352" s="4" t="s">
        <v>349</v>
      </c>
      <c r="B352" s="5">
        <v>8097.2019</v>
      </c>
      <c r="C352">
        <f t="shared" si="5"/>
        <v>8.9452887384189328E-3</v>
      </c>
    </row>
    <row r="353" spans="1:3" x14ac:dyDescent="0.3">
      <c r="A353" s="4" t="s">
        <v>350</v>
      </c>
      <c r="B353" s="5">
        <v>8175.4771799999999</v>
      </c>
      <c r="C353">
        <f t="shared" si="5"/>
        <v>9.6669542104415029E-3</v>
      </c>
    </row>
    <row r="354" spans="1:3" x14ac:dyDescent="0.3">
      <c r="A354" s="4" t="s">
        <v>351</v>
      </c>
      <c r="B354" s="5">
        <v>8240.8980200000005</v>
      </c>
      <c r="C354">
        <f t="shared" si="5"/>
        <v>8.0020821488000493E-3</v>
      </c>
    </row>
    <row r="355" spans="1:3" x14ac:dyDescent="0.3">
      <c r="A355" s="4" t="s">
        <v>352</v>
      </c>
      <c r="B355" s="5">
        <v>8309.4356499999994</v>
      </c>
      <c r="C355">
        <f t="shared" si="5"/>
        <v>8.3167671573733948E-3</v>
      </c>
    </row>
    <row r="356" spans="1:3" x14ac:dyDescent="0.3">
      <c r="A356" s="4" t="s">
        <v>353</v>
      </c>
      <c r="B356" s="5">
        <v>8383.1754799999999</v>
      </c>
      <c r="C356">
        <f t="shared" si="5"/>
        <v>8.874228420073349E-3</v>
      </c>
    </row>
    <row r="357" spans="1:3" x14ac:dyDescent="0.3">
      <c r="A357" s="4" t="s">
        <v>354</v>
      </c>
      <c r="B357" s="5">
        <v>8452.9598100000003</v>
      </c>
      <c r="C357">
        <f t="shared" si="5"/>
        <v>8.3243312950429527E-3</v>
      </c>
    </row>
    <row r="358" spans="1:3" x14ac:dyDescent="0.3">
      <c r="A358" s="4" t="s">
        <v>355</v>
      </c>
      <c r="B358" s="5">
        <v>8519.5969299999997</v>
      </c>
      <c r="C358">
        <f t="shared" si="5"/>
        <v>7.8832883981261315E-3</v>
      </c>
    </row>
    <row r="359" spans="1:3" x14ac:dyDescent="0.3">
      <c r="A359" s="4" t="s">
        <v>356</v>
      </c>
      <c r="B359" s="5">
        <v>8596.8792799999992</v>
      </c>
      <c r="C359">
        <f t="shared" si="5"/>
        <v>9.0711274999248914E-3</v>
      </c>
    </row>
    <row r="360" spans="1:3" x14ac:dyDescent="0.3">
      <c r="A360" s="4" t="s">
        <v>357</v>
      </c>
      <c r="B360" s="5">
        <v>8671.4574300000004</v>
      </c>
      <c r="C360">
        <f t="shared" si="5"/>
        <v>8.6750258519392442E-3</v>
      </c>
    </row>
    <row r="361" spans="1:3" x14ac:dyDescent="0.3">
      <c r="A361" s="4" t="s">
        <v>358</v>
      </c>
      <c r="B361" s="5">
        <v>8743.8769699999993</v>
      </c>
      <c r="C361">
        <f t="shared" si="5"/>
        <v>8.3514842325644878E-3</v>
      </c>
    </row>
    <row r="362" spans="1:3" x14ac:dyDescent="0.3">
      <c r="A362" s="4" t="s">
        <v>359</v>
      </c>
      <c r="B362" s="5">
        <v>8825.0154899999998</v>
      </c>
      <c r="C362">
        <f t="shared" si="5"/>
        <v>9.2794672521565591E-3</v>
      </c>
    </row>
    <row r="363" spans="1:3" x14ac:dyDescent="0.3">
      <c r="A363" s="4" t="s">
        <v>360</v>
      </c>
      <c r="B363" s="5">
        <v>8894.9973890000001</v>
      </c>
      <c r="C363">
        <f t="shared" si="5"/>
        <v>7.9299463076636378E-3</v>
      </c>
    </row>
    <row r="364" spans="1:3" x14ac:dyDescent="0.3">
      <c r="A364" s="4" t="s">
        <v>361</v>
      </c>
      <c r="B364" s="5">
        <v>8977.8486200000007</v>
      </c>
      <c r="C364">
        <f t="shared" si="5"/>
        <v>9.3143625991907175E-3</v>
      </c>
    </row>
    <row r="365" spans="1:3" x14ac:dyDescent="0.3">
      <c r="A365" s="4" t="s">
        <v>362</v>
      </c>
      <c r="B365" s="5">
        <v>9068.8126900000007</v>
      </c>
      <c r="C365">
        <f t="shared" si="5"/>
        <v>1.0132056559447822E-2</v>
      </c>
    </row>
    <row r="366" spans="1:3" x14ac:dyDescent="0.3">
      <c r="A366" s="4" t="s">
        <v>363</v>
      </c>
      <c r="B366" s="5">
        <v>9158.1706300000005</v>
      </c>
      <c r="C366">
        <f t="shared" si="5"/>
        <v>9.8533229271051681E-3</v>
      </c>
    </row>
    <row r="367" spans="1:3" x14ac:dyDescent="0.3">
      <c r="A367" s="4" t="s">
        <v>364</v>
      </c>
      <c r="B367" s="5">
        <v>9246.4585700000007</v>
      </c>
      <c r="C367">
        <f t="shared" si="5"/>
        <v>9.6403466988035369E-3</v>
      </c>
    </row>
    <row r="368" spans="1:3" x14ac:dyDescent="0.3">
      <c r="A368" s="4" t="s">
        <v>365</v>
      </c>
      <c r="B368" s="5">
        <v>9344.0899100000006</v>
      </c>
    </row>
  </sheetData>
  <pageMargins left="0.7" right="0.7" top="0.75" bottom="0.75" header="0.3" footer="0.3"/>
  <pageSetup paperSize="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G368"/>
  <sheetViews>
    <sheetView workbookViewId="0">
      <selection activeCell="D3" sqref="D3"/>
    </sheetView>
  </sheetViews>
  <sheetFormatPr defaultRowHeight="14.4" x14ac:dyDescent="0.3"/>
  <cols>
    <col min="1" max="1" width="9" customWidth="1"/>
    <col min="2" max="5" width="11" customWidth="1"/>
    <col min="6" max="6" width="9" customWidth="1"/>
  </cols>
  <sheetData>
    <row r="1" spans="1:7" x14ac:dyDescent="0.3">
      <c r="A1" s="6" t="s">
        <v>370</v>
      </c>
      <c r="B1" s="1" t="s">
        <v>368</v>
      </c>
      <c r="C1" s="1"/>
      <c r="D1" s="1"/>
      <c r="E1" s="1"/>
    </row>
    <row r="2" spans="1:7" x14ac:dyDescent="0.3">
      <c r="A2" s="6" t="s">
        <v>367</v>
      </c>
      <c r="C2">
        <f>STDEV(C20:C367)*SQRT(12)</f>
        <v>0.27221214788726822</v>
      </c>
      <c r="D2">
        <f>STDEV(C44:C367)*SQRT(12)</f>
        <v>0.2679823914962402</v>
      </c>
    </row>
    <row r="4" spans="1:7" ht="30.6" x14ac:dyDescent="0.3">
      <c r="A4" s="2" t="s">
        <v>0</v>
      </c>
      <c r="B4" s="3" t="s">
        <v>1</v>
      </c>
      <c r="C4" s="7"/>
      <c r="D4" s="7"/>
      <c r="E4" s="7"/>
    </row>
    <row r="5" spans="1:7" x14ac:dyDescent="0.3">
      <c r="A5" s="4" t="s">
        <v>2</v>
      </c>
      <c r="B5" s="5">
        <v>3885</v>
      </c>
      <c r="C5" s="8"/>
      <c r="D5" s="8"/>
      <c r="E5" s="8"/>
    </row>
    <row r="6" spans="1:7" x14ac:dyDescent="0.3">
      <c r="A6" s="4" t="s">
        <v>3</v>
      </c>
      <c r="B6" s="5">
        <v>3270.8</v>
      </c>
      <c r="C6" s="8"/>
      <c r="D6" s="8"/>
      <c r="E6" s="8"/>
    </row>
    <row r="7" spans="1:7" x14ac:dyDescent="0.3">
      <c r="A7" s="4" t="s">
        <v>4</v>
      </c>
      <c r="B7" s="5">
        <v>2978.9</v>
      </c>
      <c r="C7" s="8"/>
      <c r="D7" s="8"/>
      <c r="E7" s="8" t="e">
        <v>#REF!</v>
      </c>
      <c r="F7" t="e">
        <f>B7/#REF!</f>
        <v>#REF!</v>
      </c>
    </row>
    <row r="8" spans="1:7" x14ac:dyDescent="0.3">
      <c r="A8" s="4" t="s">
        <v>5</v>
      </c>
      <c r="B8" s="5">
        <v>3813.7</v>
      </c>
      <c r="C8" s="8"/>
      <c r="D8" s="8"/>
      <c r="E8" s="8" t="e">
        <v>#REF!</v>
      </c>
      <c r="F8" t="e">
        <f>B8/#REF!</f>
        <v>#REF!</v>
      </c>
      <c r="G8" t="e">
        <f t="shared" ref="G8:G71" si="0">F8-1</f>
        <v>#REF!</v>
      </c>
    </row>
    <row r="9" spans="1:7" x14ac:dyDescent="0.3">
      <c r="A9" s="4" t="s">
        <v>6</v>
      </c>
      <c r="B9" s="5">
        <v>3720.5</v>
      </c>
      <c r="C9" s="8"/>
      <c r="D9" s="8"/>
      <c r="E9" s="8" t="e">
        <v>#REF!</v>
      </c>
      <c r="F9" t="e">
        <f>B9/#REF!</f>
        <v>#REF!</v>
      </c>
      <c r="G9" t="e">
        <f t="shared" si="0"/>
        <v>#REF!</v>
      </c>
    </row>
    <row r="10" spans="1:7" x14ac:dyDescent="0.3">
      <c r="A10" s="4" t="s">
        <v>7</v>
      </c>
      <c r="B10" s="5">
        <v>3603.3</v>
      </c>
      <c r="C10" s="8"/>
      <c r="D10" s="8"/>
      <c r="E10" s="8" t="e">
        <v>#REF!</v>
      </c>
      <c r="F10" t="e">
        <f>B10/#REF!</f>
        <v>#REF!</v>
      </c>
      <c r="G10" t="e">
        <f t="shared" si="0"/>
        <v>#REF!</v>
      </c>
    </row>
    <row r="11" spans="1:7" x14ac:dyDescent="0.3">
      <c r="A11" s="4" t="s">
        <v>8</v>
      </c>
      <c r="B11" s="5">
        <v>3877.4</v>
      </c>
      <c r="C11" s="8"/>
      <c r="D11" s="8"/>
      <c r="E11" s="8" t="e">
        <v>#REF!</v>
      </c>
      <c r="F11" t="e">
        <f>B11/#REF!</f>
        <v>#REF!</v>
      </c>
      <c r="G11" t="e">
        <f t="shared" si="0"/>
        <v>#REF!</v>
      </c>
    </row>
    <row r="12" spans="1:7" x14ac:dyDescent="0.3">
      <c r="A12" s="4" t="s">
        <v>9</v>
      </c>
      <c r="B12" s="5">
        <v>4310.5</v>
      </c>
      <c r="C12" s="8"/>
      <c r="D12" s="8"/>
      <c r="E12" s="8" t="e">
        <v>#REF!</v>
      </c>
      <c r="F12" t="e">
        <f>B12/#REF!</f>
        <v>#REF!</v>
      </c>
      <c r="G12" t="e">
        <f t="shared" si="0"/>
        <v>#REF!</v>
      </c>
    </row>
    <row r="13" spans="1:7" x14ac:dyDescent="0.3">
      <c r="A13" s="4" t="s">
        <v>10</v>
      </c>
      <c r="B13" s="5">
        <v>4670.1000000000004</v>
      </c>
      <c r="C13" s="8"/>
      <c r="D13" s="8"/>
      <c r="E13" s="8" t="e">
        <v>#VALUE!</v>
      </c>
      <c r="F13" t="e">
        <f t="shared" ref="F13:F76" si="1">B13/B1</f>
        <v>#VALUE!</v>
      </c>
      <c r="G13" t="e">
        <f t="shared" si="0"/>
        <v>#VALUE!</v>
      </c>
    </row>
    <row r="14" spans="1:7" x14ac:dyDescent="0.3">
      <c r="A14" s="4" t="s">
        <v>11</v>
      </c>
      <c r="B14" s="5">
        <v>4128.3</v>
      </c>
      <c r="C14" s="8"/>
      <c r="D14" s="8"/>
      <c r="E14" s="8" t="e">
        <v>#DIV/0!</v>
      </c>
      <c r="F14" t="e">
        <f t="shared" si="1"/>
        <v>#DIV/0!</v>
      </c>
      <c r="G14" t="e">
        <f t="shared" si="0"/>
        <v>#DIV/0!</v>
      </c>
    </row>
    <row r="15" spans="1:7" x14ac:dyDescent="0.3">
      <c r="A15" s="4" t="s">
        <v>12</v>
      </c>
      <c r="B15" s="5">
        <v>4378.5</v>
      </c>
      <c r="C15" s="8"/>
      <c r="D15" s="8"/>
      <c r="E15" s="8" t="e">
        <v>#DIV/0!</v>
      </c>
      <c r="F15" t="e">
        <f t="shared" si="1"/>
        <v>#DIV/0!</v>
      </c>
      <c r="G15" t="e">
        <f t="shared" si="0"/>
        <v>#DIV/0!</v>
      </c>
    </row>
    <row r="16" spans="1:7" x14ac:dyDescent="0.3">
      <c r="A16" s="4" t="s">
        <v>13</v>
      </c>
      <c r="B16" s="5">
        <v>4299</v>
      </c>
      <c r="C16" s="8"/>
      <c r="D16" s="8"/>
      <c r="E16" s="8" t="e">
        <v>#VALUE!</v>
      </c>
      <c r="F16" t="e">
        <f t="shared" si="1"/>
        <v>#VALUE!</v>
      </c>
      <c r="G16" t="e">
        <f t="shared" si="0"/>
        <v>#VALUE!</v>
      </c>
    </row>
    <row r="17" spans="1:7" x14ac:dyDescent="0.3">
      <c r="A17" s="4" t="s">
        <v>14</v>
      </c>
      <c r="B17" s="5">
        <v>5151.5</v>
      </c>
      <c r="C17" s="8"/>
      <c r="D17" s="8"/>
      <c r="E17" s="8">
        <v>1.3259974259974261</v>
      </c>
      <c r="F17">
        <f t="shared" si="1"/>
        <v>1.3259974259974261</v>
      </c>
      <c r="G17">
        <f t="shared" si="0"/>
        <v>0.32599742599742609</v>
      </c>
    </row>
    <row r="18" spans="1:7" x14ac:dyDescent="0.3">
      <c r="A18" s="4" t="s">
        <v>15</v>
      </c>
      <c r="B18" s="5">
        <v>4957.7</v>
      </c>
      <c r="C18" s="8"/>
      <c r="D18" s="8"/>
      <c r="E18" s="8">
        <v>1.5157453833924421</v>
      </c>
      <c r="F18">
        <f t="shared" si="1"/>
        <v>1.5157453833924421</v>
      </c>
      <c r="G18">
        <f t="shared" si="0"/>
        <v>0.51574538339244214</v>
      </c>
    </row>
    <row r="19" spans="1:7" x14ac:dyDescent="0.3">
      <c r="A19" s="4" t="s">
        <v>16</v>
      </c>
      <c r="B19" s="5">
        <v>4954.8999999999996</v>
      </c>
      <c r="C19" s="8"/>
      <c r="D19" s="8"/>
      <c r="E19" s="8">
        <v>1.6633321024539258</v>
      </c>
      <c r="F19">
        <f t="shared" si="1"/>
        <v>1.6633321024539258</v>
      </c>
      <c r="G19">
        <f t="shared" si="0"/>
        <v>0.66333210245392582</v>
      </c>
    </row>
    <row r="20" spans="1:7" x14ac:dyDescent="0.3">
      <c r="A20" s="4" t="s">
        <v>17</v>
      </c>
      <c r="B20" s="5">
        <v>5164.1000000000004</v>
      </c>
      <c r="C20" s="8">
        <f>(B20/B19)-1</f>
        <v>4.2220831903772238E-2</v>
      </c>
      <c r="D20" s="8"/>
      <c r="E20" s="8">
        <v>1.3540918268348325</v>
      </c>
      <c r="F20">
        <f t="shared" si="1"/>
        <v>1.3540918268348325</v>
      </c>
      <c r="G20">
        <f t="shared" si="0"/>
        <v>0.35409182683483253</v>
      </c>
    </row>
    <row r="21" spans="1:7" x14ac:dyDescent="0.3">
      <c r="A21" s="4" t="s">
        <v>18</v>
      </c>
      <c r="B21" s="5">
        <v>5727.9</v>
      </c>
      <c r="C21" s="8">
        <f t="shared" ref="C21:C84" si="2">(B21/B20)-1</f>
        <v>0.109176816870316</v>
      </c>
      <c r="D21" s="8"/>
      <c r="E21" s="8">
        <v>1.5395511356000537</v>
      </c>
      <c r="F21">
        <f t="shared" si="1"/>
        <v>1.5395511356000537</v>
      </c>
      <c r="G21">
        <f t="shared" si="0"/>
        <v>0.53955113560005374</v>
      </c>
    </row>
    <row r="22" spans="1:7" x14ac:dyDescent="0.3">
      <c r="A22" s="4" t="s">
        <v>19</v>
      </c>
      <c r="B22" s="5">
        <v>6043.8</v>
      </c>
      <c r="C22" s="8">
        <f t="shared" si="2"/>
        <v>5.5151102498297799E-2</v>
      </c>
      <c r="D22" s="8"/>
      <c r="E22" s="8">
        <v>1.6772958121721755</v>
      </c>
      <c r="F22">
        <f t="shared" si="1"/>
        <v>1.6772958121721755</v>
      </c>
      <c r="G22">
        <f t="shared" si="0"/>
        <v>0.67729581217217549</v>
      </c>
    </row>
    <row r="23" spans="1:7" x14ac:dyDescent="0.3">
      <c r="A23" s="4" t="s">
        <v>20</v>
      </c>
      <c r="B23" s="5">
        <v>6123.2</v>
      </c>
      <c r="C23" s="8">
        <f t="shared" si="2"/>
        <v>1.3137430093649538E-2</v>
      </c>
      <c r="D23" s="8"/>
      <c r="E23" s="8">
        <v>1.579202558415433</v>
      </c>
      <c r="F23">
        <f t="shared" si="1"/>
        <v>1.579202558415433</v>
      </c>
      <c r="G23">
        <f t="shared" si="0"/>
        <v>0.579202558415433</v>
      </c>
    </row>
    <row r="24" spans="1:7" x14ac:dyDescent="0.3">
      <c r="A24" s="4" t="s">
        <v>21</v>
      </c>
      <c r="B24" s="5">
        <v>6259.4</v>
      </c>
      <c r="C24" s="8">
        <f t="shared" si="2"/>
        <v>2.2243271492030203E-2</v>
      </c>
      <c r="D24" s="8"/>
      <c r="E24" s="8">
        <v>1.4521285233731585</v>
      </c>
      <c r="F24">
        <f t="shared" si="1"/>
        <v>1.4521285233731585</v>
      </c>
      <c r="G24">
        <f t="shared" si="0"/>
        <v>0.45212852337315845</v>
      </c>
    </row>
    <row r="25" spans="1:7" x14ac:dyDescent="0.3">
      <c r="A25" s="4" t="s">
        <v>22</v>
      </c>
      <c r="B25" s="5">
        <v>6446.8</v>
      </c>
      <c r="C25" s="8">
        <f t="shared" si="2"/>
        <v>2.9938971786433344E-2</v>
      </c>
      <c r="D25" s="8"/>
      <c r="E25" s="8">
        <v>1.3804415323012353</v>
      </c>
      <c r="F25">
        <f t="shared" si="1"/>
        <v>1.3804415323012353</v>
      </c>
      <c r="G25">
        <f t="shared" si="0"/>
        <v>0.38044153230123534</v>
      </c>
    </row>
    <row r="26" spans="1:7" x14ac:dyDescent="0.3">
      <c r="A26" s="4" t="s">
        <v>23</v>
      </c>
      <c r="B26" s="5">
        <v>6533.1</v>
      </c>
      <c r="C26" s="8">
        <f t="shared" si="2"/>
        <v>1.33864863187938E-2</v>
      </c>
      <c r="D26" s="8"/>
      <c r="E26" s="8">
        <v>1.5825158055373882</v>
      </c>
      <c r="F26">
        <f t="shared" si="1"/>
        <v>1.5825158055373882</v>
      </c>
      <c r="G26">
        <f t="shared" si="0"/>
        <v>0.58251580553738824</v>
      </c>
    </row>
    <row r="27" spans="1:7" x14ac:dyDescent="0.3">
      <c r="A27" s="4" t="s">
        <v>24</v>
      </c>
      <c r="B27" s="5">
        <v>6666</v>
      </c>
      <c r="C27" s="8">
        <f t="shared" si="2"/>
        <v>2.0342563254809987E-2</v>
      </c>
      <c r="D27" s="8"/>
      <c r="E27" s="8">
        <v>1.5224391915039397</v>
      </c>
      <c r="F27">
        <f t="shared" si="1"/>
        <v>1.5224391915039397</v>
      </c>
      <c r="G27">
        <f t="shared" si="0"/>
        <v>0.52243919150393969</v>
      </c>
    </row>
    <row r="28" spans="1:7" x14ac:dyDescent="0.3">
      <c r="A28" s="4" t="s">
        <v>25</v>
      </c>
      <c r="B28" s="5">
        <v>7039.9</v>
      </c>
      <c r="C28" s="8">
        <f t="shared" si="2"/>
        <v>5.6090609060906127E-2</v>
      </c>
      <c r="D28" s="8"/>
      <c r="E28" s="8">
        <v>1.6375668760176785</v>
      </c>
      <c r="F28">
        <f t="shared" si="1"/>
        <v>1.6375668760176785</v>
      </c>
      <c r="G28">
        <f t="shared" si="0"/>
        <v>0.63756687601767847</v>
      </c>
    </row>
    <row r="29" spans="1:7" x14ac:dyDescent="0.3">
      <c r="A29" s="4" t="s">
        <v>26</v>
      </c>
      <c r="B29" s="5">
        <v>7964.6</v>
      </c>
      <c r="C29" s="8">
        <f t="shared" si="2"/>
        <v>0.13135129760365927</v>
      </c>
      <c r="D29" s="8"/>
      <c r="E29" s="8">
        <v>1.5460739590410562</v>
      </c>
      <c r="F29">
        <f t="shared" si="1"/>
        <v>1.5460739590410562</v>
      </c>
      <c r="G29">
        <f t="shared" si="0"/>
        <v>0.54607395904105616</v>
      </c>
    </row>
    <row r="30" spans="1:7" x14ac:dyDescent="0.3">
      <c r="A30" s="4" t="s">
        <v>27</v>
      </c>
      <c r="B30" s="5">
        <v>8828.7000000000007</v>
      </c>
      <c r="C30" s="8">
        <f t="shared" si="2"/>
        <v>0.1084925796650178</v>
      </c>
      <c r="D30" s="8"/>
      <c r="E30" s="8">
        <v>1.780805615507191</v>
      </c>
      <c r="F30">
        <f t="shared" si="1"/>
        <v>1.780805615507191</v>
      </c>
      <c r="G30">
        <f t="shared" si="0"/>
        <v>0.78080561550719096</v>
      </c>
    </row>
    <row r="31" spans="1:7" x14ac:dyDescent="0.3">
      <c r="A31" s="4" t="s">
        <v>28</v>
      </c>
      <c r="B31" s="5">
        <v>9044</v>
      </c>
      <c r="C31" s="8">
        <f t="shared" si="2"/>
        <v>2.4386376250183917E-2</v>
      </c>
      <c r="D31" s="8"/>
      <c r="E31" s="8">
        <v>1.8252638801993988</v>
      </c>
      <c r="F31">
        <f t="shared" si="1"/>
        <v>1.8252638801993988</v>
      </c>
      <c r="G31">
        <f t="shared" si="0"/>
        <v>0.82526388019939878</v>
      </c>
    </row>
    <row r="32" spans="1:7" x14ac:dyDescent="0.3">
      <c r="A32" s="4" t="s">
        <v>29</v>
      </c>
      <c r="B32" s="5">
        <v>9982</v>
      </c>
      <c r="C32" s="8">
        <f t="shared" si="2"/>
        <v>0.10371517027863786</v>
      </c>
      <c r="D32" s="8"/>
      <c r="E32" s="8">
        <v>1.9329602447667549</v>
      </c>
      <c r="F32">
        <f t="shared" si="1"/>
        <v>1.9329602447667549</v>
      </c>
      <c r="G32">
        <f t="shared" si="0"/>
        <v>0.93296024476675488</v>
      </c>
    </row>
    <row r="33" spans="1:7" x14ac:dyDescent="0.3">
      <c r="A33" s="4" t="s">
        <v>30</v>
      </c>
      <c r="B33" s="5">
        <v>11344</v>
      </c>
      <c r="C33" s="8">
        <f t="shared" si="2"/>
        <v>0.13644560208375078</v>
      </c>
      <c r="D33" s="8"/>
      <c r="E33" s="8">
        <v>1.9804815028195326</v>
      </c>
      <c r="F33">
        <f t="shared" si="1"/>
        <v>1.9804815028195326</v>
      </c>
      <c r="G33">
        <f t="shared" si="0"/>
        <v>0.98048150281953261</v>
      </c>
    </row>
    <row r="34" spans="1:7" x14ac:dyDescent="0.3">
      <c r="A34" s="4" t="s">
        <v>31</v>
      </c>
      <c r="B34" s="5">
        <v>12567</v>
      </c>
      <c r="C34" s="8">
        <f t="shared" si="2"/>
        <v>0.10781029619181948</v>
      </c>
      <c r="D34" s="8"/>
      <c r="E34" s="8">
        <v>2.0793209570137994</v>
      </c>
      <c r="F34">
        <f t="shared" si="1"/>
        <v>2.0793209570137994</v>
      </c>
      <c r="G34">
        <f t="shared" si="0"/>
        <v>1.0793209570137994</v>
      </c>
    </row>
    <row r="35" spans="1:7" x14ac:dyDescent="0.3">
      <c r="A35" s="4" t="s">
        <v>32</v>
      </c>
      <c r="B35" s="5">
        <v>12872</v>
      </c>
      <c r="C35" s="8">
        <f t="shared" si="2"/>
        <v>2.4269913264900245E-2</v>
      </c>
      <c r="D35" s="8"/>
      <c r="E35" s="8">
        <v>2.1021688006271231</v>
      </c>
      <c r="F35">
        <f t="shared" si="1"/>
        <v>2.1021688006271231</v>
      </c>
      <c r="G35">
        <f t="shared" si="0"/>
        <v>1.1021688006271231</v>
      </c>
    </row>
    <row r="36" spans="1:7" x14ac:dyDescent="0.3">
      <c r="A36" s="4" t="s">
        <v>33</v>
      </c>
      <c r="B36" s="5">
        <v>10609</v>
      </c>
      <c r="C36" s="8">
        <f t="shared" si="2"/>
        <v>-0.17580795525170911</v>
      </c>
      <c r="D36" s="8"/>
      <c r="E36" s="8">
        <v>1.6948908841102983</v>
      </c>
      <c r="F36">
        <f t="shared" si="1"/>
        <v>1.6948908841102983</v>
      </c>
      <c r="G36">
        <f t="shared" si="0"/>
        <v>0.69489088411029831</v>
      </c>
    </row>
    <row r="37" spans="1:7" x14ac:dyDescent="0.3">
      <c r="A37" s="4" t="s">
        <v>34</v>
      </c>
      <c r="B37" s="5">
        <v>11797</v>
      </c>
      <c r="C37" s="8">
        <f t="shared" si="2"/>
        <v>0.11198039400509008</v>
      </c>
      <c r="D37" s="8"/>
      <c r="E37" s="8">
        <v>1.829900105478687</v>
      </c>
      <c r="F37">
        <f t="shared" si="1"/>
        <v>1.829900105478687</v>
      </c>
      <c r="G37">
        <f t="shared" si="0"/>
        <v>0.82990010547868698</v>
      </c>
    </row>
    <row r="38" spans="1:7" x14ac:dyDescent="0.3">
      <c r="A38" s="4" t="s">
        <v>35</v>
      </c>
      <c r="B38" s="5">
        <v>8986</v>
      </c>
      <c r="C38" s="8">
        <f t="shared" si="2"/>
        <v>-0.23828091887768077</v>
      </c>
      <c r="D38" s="8"/>
      <c r="E38" s="8">
        <v>1.3754572867398325</v>
      </c>
      <c r="F38">
        <f t="shared" si="1"/>
        <v>1.3754572867398325</v>
      </c>
      <c r="G38">
        <f t="shared" si="0"/>
        <v>0.37545728673983247</v>
      </c>
    </row>
    <row r="39" spans="1:7" x14ac:dyDescent="0.3">
      <c r="A39" s="4" t="s">
        <v>36</v>
      </c>
      <c r="B39" s="5">
        <v>9394</v>
      </c>
      <c r="C39" s="8">
        <f t="shared" si="2"/>
        <v>4.5403961718228247E-2</v>
      </c>
      <c r="D39" s="8"/>
      <c r="E39" s="8">
        <v>1.4092409240924093</v>
      </c>
      <c r="F39">
        <f t="shared" si="1"/>
        <v>1.4092409240924093</v>
      </c>
      <c r="G39">
        <f t="shared" si="0"/>
        <v>0.40924092409240931</v>
      </c>
    </row>
    <row r="40" spans="1:7" x14ac:dyDescent="0.3">
      <c r="A40" s="4" t="s">
        <v>37</v>
      </c>
      <c r="B40" s="5">
        <v>10196</v>
      </c>
      <c r="C40" s="8">
        <f t="shared" si="2"/>
        <v>8.5373642750691925E-2</v>
      </c>
      <c r="D40" s="8"/>
      <c r="E40" s="8">
        <v>1.4483160272162958</v>
      </c>
      <c r="F40">
        <f t="shared" si="1"/>
        <v>1.4483160272162958</v>
      </c>
      <c r="G40">
        <f t="shared" si="0"/>
        <v>0.44831602721629582</v>
      </c>
    </row>
    <row r="41" spans="1:7" x14ac:dyDescent="0.3">
      <c r="A41" s="4" t="s">
        <v>38</v>
      </c>
      <c r="B41" s="5">
        <v>9720</v>
      </c>
      <c r="C41" s="8">
        <f t="shared" si="2"/>
        <v>-4.66849744998038E-2</v>
      </c>
      <c r="D41" s="8"/>
      <c r="E41" s="8">
        <v>1.2204002712000601</v>
      </c>
      <c r="F41">
        <f t="shared" si="1"/>
        <v>1.2204002712000601</v>
      </c>
      <c r="G41">
        <f t="shared" si="0"/>
        <v>0.22040027120006012</v>
      </c>
    </row>
    <row r="42" spans="1:7" x14ac:dyDescent="0.3">
      <c r="A42" s="4" t="s">
        <v>39</v>
      </c>
      <c r="B42" s="5">
        <v>10570</v>
      </c>
      <c r="C42" s="8">
        <f t="shared" si="2"/>
        <v>8.7448559670781911E-2</v>
      </c>
      <c r="D42" s="8"/>
      <c r="E42" s="8">
        <v>1.1972317555245959</v>
      </c>
      <c r="F42">
        <f t="shared" si="1"/>
        <v>1.1972317555245959</v>
      </c>
      <c r="G42">
        <f t="shared" si="0"/>
        <v>0.19723175552459593</v>
      </c>
    </row>
    <row r="43" spans="1:7" x14ac:dyDescent="0.3">
      <c r="A43" s="4" t="s">
        <v>40</v>
      </c>
      <c r="B43" s="5">
        <v>11946</v>
      </c>
      <c r="C43" s="8">
        <f t="shared" si="2"/>
        <v>0.13017975402081361</v>
      </c>
      <c r="D43" s="8"/>
      <c r="E43" s="8">
        <v>1.320875718708536</v>
      </c>
      <c r="F43">
        <f t="shared" si="1"/>
        <v>1.320875718708536</v>
      </c>
      <c r="G43">
        <f t="shared" si="0"/>
        <v>0.32087571870853604</v>
      </c>
    </row>
    <row r="44" spans="1:7" x14ac:dyDescent="0.3">
      <c r="A44" s="4" t="s">
        <v>41</v>
      </c>
      <c r="B44" s="5">
        <v>11677</v>
      </c>
      <c r="C44" s="8">
        <f t="shared" si="2"/>
        <v>-2.2517997656119171E-2</v>
      </c>
      <c r="D44" s="8"/>
      <c r="E44" s="8">
        <v>1.1698056501703065</v>
      </c>
      <c r="F44">
        <f t="shared" si="1"/>
        <v>1.1698056501703065</v>
      </c>
      <c r="G44">
        <f t="shared" si="0"/>
        <v>0.16980565017030647</v>
      </c>
    </row>
    <row r="45" spans="1:7" x14ac:dyDescent="0.3">
      <c r="A45" s="4" t="s">
        <v>42</v>
      </c>
      <c r="B45" s="5">
        <v>9846</v>
      </c>
      <c r="C45" s="8">
        <f t="shared" si="2"/>
        <v>-0.15680397362336218</v>
      </c>
      <c r="D45" s="8"/>
      <c r="E45" s="8">
        <v>0.86794781382228492</v>
      </c>
      <c r="F45">
        <f t="shared" si="1"/>
        <v>0.86794781382228492</v>
      </c>
      <c r="G45">
        <f t="shared" si="0"/>
        <v>-0.13205218617771508</v>
      </c>
    </row>
    <row r="46" spans="1:7" x14ac:dyDescent="0.3">
      <c r="A46" s="4" t="s">
        <v>43</v>
      </c>
      <c r="B46" s="5">
        <v>9678</v>
      </c>
      <c r="C46" s="8">
        <f t="shared" si="2"/>
        <v>-1.7062766605728252E-2</v>
      </c>
      <c r="D46" s="8"/>
      <c r="E46" s="8">
        <v>0.77011219861542135</v>
      </c>
      <c r="F46">
        <f t="shared" si="1"/>
        <v>0.77011219861542135</v>
      </c>
      <c r="G46">
        <f t="shared" si="0"/>
        <v>-0.22988780138457865</v>
      </c>
    </row>
    <row r="47" spans="1:7" x14ac:dyDescent="0.3">
      <c r="A47" s="4" t="s">
        <v>44</v>
      </c>
      <c r="B47" s="5">
        <v>10707</v>
      </c>
      <c r="C47" s="8">
        <f t="shared" si="2"/>
        <v>0.10632362058276512</v>
      </c>
      <c r="D47" s="8"/>
      <c r="E47" s="8">
        <v>0.83180546923554999</v>
      </c>
      <c r="F47">
        <f t="shared" si="1"/>
        <v>0.83180546923554999</v>
      </c>
      <c r="G47">
        <f t="shared" si="0"/>
        <v>-0.16819453076445001</v>
      </c>
    </row>
    <row r="48" spans="1:7" x14ac:dyDescent="0.3">
      <c r="A48" s="4" t="s">
        <v>45</v>
      </c>
      <c r="B48" s="5">
        <v>6472</v>
      </c>
      <c r="C48" s="8">
        <f t="shared" si="2"/>
        <v>-0.39553563089567567</v>
      </c>
      <c r="D48" s="8"/>
      <c r="E48" s="8">
        <v>0.61004807239136583</v>
      </c>
      <c r="F48">
        <f t="shared" si="1"/>
        <v>0.61004807239136583</v>
      </c>
      <c r="G48">
        <f t="shared" si="0"/>
        <v>-0.38995192760863417</v>
      </c>
    </row>
    <row r="49" spans="1:7" x14ac:dyDescent="0.3">
      <c r="A49" s="4" t="s">
        <v>46</v>
      </c>
      <c r="B49" s="5">
        <v>6593</v>
      </c>
      <c r="C49" s="8">
        <f t="shared" si="2"/>
        <v>1.8695920889987727E-2</v>
      </c>
      <c r="D49" s="8"/>
      <c r="E49" s="8">
        <v>0.5588708993811986</v>
      </c>
      <c r="F49">
        <f t="shared" si="1"/>
        <v>0.5588708993811986</v>
      </c>
      <c r="G49">
        <f t="shared" si="0"/>
        <v>-0.4411291006188014</v>
      </c>
    </row>
    <row r="50" spans="1:7" x14ac:dyDescent="0.3">
      <c r="A50" s="4" t="s">
        <v>47</v>
      </c>
      <c r="B50" s="5">
        <v>7047</v>
      </c>
      <c r="C50" s="8">
        <f t="shared" si="2"/>
        <v>6.8860913089640485E-2</v>
      </c>
      <c r="D50" s="8"/>
      <c r="E50" s="8">
        <v>0.78421989761851774</v>
      </c>
      <c r="F50">
        <f t="shared" si="1"/>
        <v>0.78421989761851774</v>
      </c>
      <c r="G50">
        <f t="shared" si="0"/>
        <v>-0.21578010238148226</v>
      </c>
    </row>
    <row r="51" spans="1:7" x14ac:dyDescent="0.3">
      <c r="A51" s="4" t="s">
        <v>48</v>
      </c>
      <c r="B51" s="5">
        <v>8631</v>
      </c>
      <c r="C51" s="8">
        <f t="shared" si="2"/>
        <v>0.22477650063856958</v>
      </c>
      <c r="D51" s="8"/>
      <c r="E51" s="8">
        <v>0.91877794336810725</v>
      </c>
      <c r="F51">
        <f t="shared" si="1"/>
        <v>0.91877794336810725</v>
      </c>
      <c r="G51">
        <f t="shared" si="0"/>
        <v>-8.1222056631892747E-2</v>
      </c>
    </row>
    <row r="52" spans="1:7" x14ac:dyDescent="0.3">
      <c r="A52" s="4" t="s">
        <v>49</v>
      </c>
      <c r="B52" s="5">
        <v>6784</v>
      </c>
      <c r="C52" s="8">
        <f t="shared" si="2"/>
        <v>-0.21399606071138921</v>
      </c>
      <c r="D52" s="8"/>
      <c r="E52" s="8">
        <v>0.66535896429972541</v>
      </c>
      <c r="F52">
        <f t="shared" si="1"/>
        <v>0.66535896429972541</v>
      </c>
      <c r="G52">
        <f t="shared" si="0"/>
        <v>-0.33464103570027459</v>
      </c>
    </row>
    <row r="53" spans="1:7" x14ac:dyDescent="0.3">
      <c r="A53" s="4" t="s">
        <v>50</v>
      </c>
      <c r="B53" s="5">
        <v>8171</v>
      </c>
      <c r="C53" s="8">
        <f t="shared" si="2"/>
        <v>0.20445165094339623</v>
      </c>
      <c r="D53" s="8"/>
      <c r="E53" s="8">
        <v>0.84063786008230457</v>
      </c>
      <c r="F53">
        <f t="shared" si="1"/>
        <v>0.84063786008230457</v>
      </c>
      <c r="G53">
        <f t="shared" si="0"/>
        <v>-0.15936213991769543</v>
      </c>
    </row>
    <row r="54" spans="1:7" x14ac:dyDescent="0.3">
      <c r="A54" s="4" t="s">
        <v>51</v>
      </c>
      <c r="B54" s="5">
        <v>8910</v>
      </c>
      <c r="C54" s="8">
        <f t="shared" si="2"/>
        <v>9.0441806388446899E-2</v>
      </c>
      <c r="D54" s="8"/>
      <c r="E54" s="8">
        <v>0.84295175023651847</v>
      </c>
      <c r="F54">
        <f t="shared" si="1"/>
        <v>0.84295175023651847</v>
      </c>
      <c r="G54">
        <f t="shared" si="0"/>
        <v>-0.15704824976348153</v>
      </c>
    </row>
    <row r="55" spans="1:7" x14ac:dyDescent="0.3">
      <c r="A55" s="4" t="s">
        <v>52</v>
      </c>
      <c r="B55" s="5">
        <v>10696</v>
      </c>
      <c r="C55" s="8">
        <f t="shared" si="2"/>
        <v>0.20044893378226702</v>
      </c>
      <c r="D55" s="8"/>
      <c r="E55" s="8">
        <v>0.89536246442323786</v>
      </c>
      <c r="F55">
        <f t="shared" si="1"/>
        <v>0.89536246442323786</v>
      </c>
      <c r="G55">
        <f t="shared" si="0"/>
        <v>-0.10463753557676214</v>
      </c>
    </row>
    <row r="56" spans="1:7" x14ac:dyDescent="0.3">
      <c r="A56" s="4" t="s">
        <v>53</v>
      </c>
      <c r="B56" s="5">
        <v>11350</v>
      </c>
      <c r="C56" s="8">
        <f t="shared" si="2"/>
        <v>6.1144353029169762E-2</v>
      </c>
      <c r="D56" s="8"/>
      <c r="E56" s="8">
        <v>0.97199623190888074</v>
      </c>
      <c r="F56">
        <f t="shared" si="1"/>
        <v>0.97199623190888074</v>
      </c>
      <c r="G56">
        <f t="shared" si="0"/>
        <v>-2.8003768091119263E-2</v>
      </c>
    </row>
    <row r="57" spans="1:7" x14ac:dyDescent="0.3">
      <c r="A57" s="4" t="s">
        <v>54</v>
      </c>
      <c r="B57" s="5">
        <v>11089</v>
      </c>
      <c r="C57" s="8">
        <f t="shared" si="2"/>
        <v>-2.299559471365642E-2</v>
      </c>
      <c r="D57" s="8"/>
      <c r="E57" s="8">
        <v>1.1262441600650011</v>
      </c>
      <c r="F57">
        <f t="shared" si="1"/>
        <v>1.1262441600650011</v>
      </c>
      <c r="G57">
        <f t="shared" si="0"/>
        <v>0.12624416006500105</v>
      </c>
    </row>
    <row r="58" spans="1:7" x14ac:dyDescent="0.3">
      <c r="A58" s="4" t="s">
        <v>55</v>
      </c>
      <c r="B58" s="5">
        <v>11626</v>
      </c>
      <c r="C58" s="8">
        <f t="shared" si="2"/>
        <v>4.8426368473261761E-2</v>
      </c>
      <c r="D58" s="8"/>
      <c r="E58" s="8">
        <v>1.2012812564579458</v>
      </c>
      <c r="F58">
        <f t="shared" si="1"/>
        <v>1.2012812564579458</v>
      </c>
      <c r="G58">
        <f t="shared" si="0"/>
        <v>0.20128125645794581</v>
      </c>
    </row>
    <row r="59" spans="1:7" x14ac:dyDescent="0.3">
      <c r="A59" s="4" t="s">
        <v>56</v>
      </c>
      <c r="B59" s="5">
        <v>10441</v>
      </c>
      <c r="C59" s="8">
        <f t="shared" si="2"/>
        <v>-0.101926715981421</v>
      </c>
      <c r="D59" s="8"/>
      <c r="E59" s="8">
        <v>0.97515643971233767</v>
      </c>
      <c r="F59">
        <f t="shared" si="1"/>
        <v>0.97515643971233767</v>
      </c>
      <c r="G59">
        <f t="shared" si="0"/>
        <v>-2.4843560287662325E-2</v>
      </c>
    </row>
    <row r="60" spans="1:7" x14ac:dyDescent="0.3">
      <c r="A60" s="4" t="s">
        <v>57</v>
      </c>
      <c r="B60" s="5">
        <v>10564</v>
      </c>
      <c r="C60" s="8">
        <f t="shared" si="2"/>
        <v>1.178048079685845E-2</v>
      </c>
      <c r="D60" s="8"/>
      <c r="E60" s="8">
        <v>1.6322620519159456</v>
      </c>
      <c r="F60">
        <f t="shared" si="1"/>
        <v>1.6322620519159456</v>
      </c>
      <c r="G60">
        <f t="shared" si="0"/>
        <v>0.63226205191594564</v>
      </c>
    </row>
    <row r="61" spans="1:7" x14ac:dyDescent="0.3">
      <c r="A61" s="4" t="s">
        <v>58</v>
      </c>
      <c r="B61" s="5">
        <v>11106</v>
      </c>
      <c r="C61" s="8">
        <f t="shared" si="2"/>
        <v>5.1306323362362738E-2</v>
      </c>
      <c r="D61" s="8"/>
      <c r="E61" s="8">
        <v>1.684513878355832</v>
      </c>
      <c r="F61">
        <f t="shared" si="1"/>
        <v>1.684513878355832</v>
      </c>
      <c r="G61">
        <f t="shared" si="0"/>
        <v>0.684513878355832</v>
      </c>
    </row>
    <row r="62" spans="1:7" x14ac:dyDescent="0.3">
      <c r="A62" s="4" t="s">
        <v>59</v>
      </c>
      <c r="B62" s="5">
        <v>11700</v>
      </c>
      <c r="C62" s="8">
        <f t="shared" si="2"/>
        <v>5.3484602917341917E-2</v>
      </c>
      <c r="D62" s="8"/>
      <c r="E62" s="8">
        <v>1.6602809706257982</v>
      </c>
      <c r="F62">
        <f t="shared" si="1"/>
        <v>1.6602809706257982</v>
      </c>
      <c r="G62">
        <f t="shared" si="0"/>
        <v>0.66028097062579816</v>
      </c>
    </row>
    <row r="63" spans="1:7" x14ac:dyDescent="0.3">
      <c r="A63" s="4" t="s">
        <v>60</v>
      </c>
      <c r="B63" s="5">
        <v>13778</v>
      </c>
      <c r="C63" s="8">
        <f t="shared" si="2"/>
        <v>0.1776068376068376</v>
      </c>
      <c r="D63" s="8"/>
      <c r="E63" s="8">
        <v>1.5963387788205305</v>
      </c>
      <c r="F63">
        <f t="shared" si="1"/>
        <v>1.5963387788205305</v>
      </c>
      <c r="G63">
        <f t="shared" si="0"/>
        <v>0.59633877882053055</v>
      </c>
    </row>
    <row r="64" spans="1:7" x14ac:dyDescent="0.3">
      <c r="A64" s="4" t="s">
        <v>61</v>
      </c>
      <c r="B64" s="5">
        <v>17091</v>
      </c>
      <c r="C64" s="8">
        <f t="shared" si="2"/>
        <v>0.24045579910001447</v>
      </c>
      <c r="D64" s="8"/>
      <c r="E64" s="8">
        <v>2.5193101415094339</v>
      </c>
      <c r="F64">
        <f t="shared" si="1"/>
        <v>2.5193101415094339</v>
      </c>
      <c r="G64">
        <f t="shared" si="0"/>
        <v>1.5193101415094339</v>
      </c>
    </row>
    <row r="65" spans="1:7" x14ac:dyDescent="0.3">
      <c r="A65" s="4" t="s">
        <v>62</v>
      </c>
      <c r="B65" s="5">
        <v>16388</v>
      </c>
      <c r="C65" s="8">
        <f t="shared" si="2"/>
        <v>-4.113275993212806E-2</v>
      </c>
      <c r="D65" s="8"/>
      <c r="E65" s="8">
        <v>2.0056296658915675</v>
      </c>
      <c r="F65">
        <f t="shared" si="1"/>
        <v>2.0056296658915675</v>
      </c>
      <c r="G65">
        <f t="shared" si="0"/>
        <v>1.0056296658915675</v>
      </c>
    </row>
    <row r="66" spans="1:7" x14ac:dyDescent="0.3">
      <c r="A66" s="4" t="s">
        <v>63</v>
      </c>
      <c r="B66" s="5">
        <v>17660</v>
      </c>
      <c r="C66" s="8">
        <f t="shared" si="2"/>
        <v>7.7617769099340927E-2</v>
      </c>
      <c r="D66" s="8"/>
      <c r="E66" s="8">
        <v>1.9820426487093155</v>
      </c>
      <c r="F66">
        <f t="shared" si="1"/>
        <v>1.9820426487093155</v>
      </c>
      <c r="G66">
        <f t="shared" si="0"/>
        <v>0.98204264870931546</v>
      </c>
    </row>
    <row r="67" spans="1:7" x14ac:dyDescent="0.3">
      <c r="A67" s="4" t="s">
        <v>64</v>
      </c>
      <c r="B67" s="5">
        <v>17820</v>
      </c>
      <c r="C67" s="8">
        <f t="shared" si="2"/>
        <v>9.060022650056565E-3</v>
      </c>
      <c r="D67" s="8"/>
      <c r="E67" s="8">
        <v>1.6660433807030666</v>
      </c>
      <c r="F67">
        <f t="shared" si="1"/>
        <v>1.6660433807030666</v>
      </c>
      <c r="G67">
        <f t="shared" si="0"/>
        <v>0.66604338070306657</v>
      </c>
    </row>
    <row r="68" spans="1:7" x14ac:dyDescent="0.3">
      <c r="A68" s="4" t="s">
        <v>65</v>
      </c>
      <c r="B68" s="5">
        <v>15537</v>
      </c>
      <c r="C68" s="8">
        <f t="shared" si="2"/>
        <v>-0.12811447811447807</v>
      </c>
      <c r="D68" s="8"/>
      <c r="E68" s="8">
        <v>1.3688986784140968</v>
      </c>
      <c r="F68">
        <f t="shared" si="1"/>
        <v>1.3688986784140968</v>
      </c>
      <c r="G68">
        <f t="shared" si="0"/>
        <v>0.36889867841409685</v>
      </c>
    </row>
    <row r="69" spans="1:7" x14ac:dyDescent="0.3">
      <c r="A69" s="4" t="s">
        <v>66</v>
      </c>
      <c r="B69" s="5">
        <v>14956</v>
      </c>
      <c r="C69" s="8">
        <f t="shared" si="2"/>
        <v>-3.7394606423376442E-2</v>
      </c>
      <c r="D69" s="8"/>
      <c r="E69" s="8">
        <v>1.3487239606817567</v>
      </c>
      <c r="F69">
        <f t="shared" si="1"/>
        <v>1.3487239606817567</v>
      </c>
      <c r="G69">
        <f t="shared" si="0"/>
        <v>0.34872396068175671</v>
      </c>
    </row>
    <row r="70" spans="1:7" x14ac:dyDescent="0.3">
      <c r="A70" s="4" t="s">
        <v>67</v>
      </c>
      <c r="B70" s="5">
        <v>16727</v>
      </c>
      <c r="C70" s="8">
        <f t="shared" si="2"/>
        <v>0.11841401444236421</v>
      </c>
      <c r="D70" s="8"/>
      <c r="E70" s="8">
        <v>1.4387579563048341</v>
      </c>
      <c r="F70">
        <f t="shared" si="1"/>
        <v>1.4387579563048341</v>
      </c>
      <c r="G70">
        <f t="shared" si="0"/>
        <v>0.43875795630483405</v>
      </c>
    </row>
    <row r="71" spans="1:7" x14ac:dyDescent="0.3">
      <c r="A71" s="4" t="s">
        <v>68</v>
      </c>
      <c r="B71" s="5">
        <v>16454</v>
      </c>
      <c r="C71" s="8">
        <f t="shared" si="2"/>
        <v>-1.6320918275841478E-2</v>
      </c>
      <c r="D71" s="8"/>
      <c r="E71" s="8">
        <v>1.5759026913130927</v>
      </c>
      <c r="F71">
        <f t="shared" si="1"/>
        <v>1.5759026913130927</v>
      </c>
      <c r="G71">
        <f t="shared" si="0"/>
        <v>0.57590269131309269</v>
      </c>
    </row>
    <row r="72" spans="1:7" x14ac:dyDescent="0.3">
      <c r="A72" s="4" t="s">
        <v>69</v>
      </c>
      <c r="B72" s="5">
        <v>17346</v>
      </c>
      <c r="C72" s="8">
        <f t="shared" si="2"/>
        <v>5.4211741825695769E-2</v>
      </c>
      <c r="D72" s="8"/>
      <c r="E72" s="8">
        <v>1.6419916698220371</v>
      </c>
      <c r="F72">
        <f t="shared" si="1"/>
        <v>1.6419916698220371</v>
      </c>
      <c r="G72">
        <f t="shared" ref="G72:G135" si="3">F72-1</f>
        <v>0.64199166982203715</v>
      </c>
    </row>
    <row r="73" spans="1:7" x14ac:dyDescent="0.3">
      <c r="A73" s="4" t="s">
        <v>70</v>
      </c>
      <c r="B73" s="5">
        <v>15928</v>
      </c>
      <c r="C73" s="8">
        <f t="shared" si="2"/>
        <v>-8.1747953418655595E-2</v>
      </c>
      <c r="D73" s="8"/>
      <c r="E73" s="8">
        <v>1.4341797226724293</v>
      </c>
      <c r="F73">
        <f t="shared" si="1"/>
        <v>1.4341797226724293</v>
      </c>
      <c r="G73">
        <f t="shared" si="3"/>
        <v>0.43417972267242932</v>
      </c>
    </row>
    <row r="74" spans="1:7" x14ac:dyDescent="0.3">
      <c r="A74" s="4" t="s">
        <v>71</v>
      </c>
      <c r="B74" s="5">
        <v>14867</v>
      </c>
      <c r="C74" s="8">
        <f t="shared" si="2"/>
        <v>-6.661225514816671E-2</v>
      </c>
      <c r="D74" s="8"/>
      <c r="E74" s="8">
        <v>1.2706837606837607</v>
      </c>
      <c r="F74">
        <f t="shared" si="1"/>
        <v>1.2706837606837607</v>
      </c>
      <c r="G74">
        <f t="shared" si="3"/>
        <v>0.27068376068376065</v>
      </c>
    </row>
    <row r="75" spans="1:7" x14ac:dyDescent="0.3">
      <c r="A75" s="4" t="s">
        <v>72</v>
      </c>
      <c r="B75" s="5">
        <v>13287</v>
      </c>
      <c r="C75" s="8">
        <f t="shared" si="2"/>
        <v>-0.10627564404385548</v>
      </c>
      <c r="D75" s="8"/>
      <c r="E75" s="8">
        <v>0.96436347800841926</v>
      </c>
      <c r="F75">
        <f t="shared" si="1"/>
        <v>0.96436347800841926</v>
      </c>
      <c r="G75">
        <f t="shared" si="3"/>
        <v>-3.5636521991580739E-2</v>
      </c>
    </row>
    <row r="76" spans="1:7" x14ac:dyDescent="0.3">
      <c r="A76" s="4" t="s">
        <v>73</v>
      </c>
      <c r="B76" s="5">
        <v>15259</v>
      </c>
      <c r="C76" s="8">
        <f t="shared" si="2"/>
        <v>0.14841574471287733</v>
      </c>
      <c r="D76" s="8"/>
      <c r="E76" s="8">
        <v>0.89280908080276167</v>
      </c>
      <c r="F76">
        <f t="shared" si="1"/>
        <v>0.89280908080276167</v>
      </c>
      <c r="G76">
        <f t="shared" si="3"/>
        <v>-0.10719091919723833</v>
      </c>
    </row>
    <row r="77" spans="1:7" x14ac:dyDescent="0.3">
      <c r="A77" s="4" t="s">
        <v>74</v>
      </c>
      <c r="B77" s="5">
        <v>17672</v>
      </c>
      <c r="C77" s="8">
        <f t="shared" si="2"/>
        <v>0.158136181925421</v>
      </c>
      <c r="D77" s="8"/>
      <c r="E77" s="8">
        <v>1.0783500122040517</v>
      </c>
      <c r="F77">
        <f t="shared" ref="F77:F140" si="4">B77/B65</f>
        <v>1.0783500122040517</v>
      </c>
      <c r="G77">
        <f t="shared" si="3"/>
        <v>7.8350012204051689E-2</v>
      </c>
    </row>
    <row r="78" spans="1:7" x14ac:dyDescent="0.3">
      <c r="A78" s="4" t="s">
        <v>75</v>
      </c>
      <c r="B78" s="5">
        <v>15891</v>
      </c>
      <c r="C78" s="8">
        <f t="shared" si="2"/>
        <v>-0.10078089633318243</v>
      </c>
      <c r="D78" s="8"/>
      <c r="E78" s="8">
        <v>0.89983012457531142</v>
      </c>
      <c r="F78">
        <f t="shared" si="4"/>
        <v>0.89983012457531142</v>
      </c>
      <c r="G78">
        <f t="shared" si="3"/>
        <v>-0.10016987542468858</v>
      </c>
    </row>
    <row r="79" spans="1:7" x14ac:dyDescent="0.3">
      <c r="A79" s="4" t="s">
        <v>76</v>
      </c>
      <c r="B79" s="5">
        <v>14438</v>
      </c>
      <c r="C79" s="8">
        <f t="shared" si="2"/>
        <v>-9.143540368762193E-2</v>
      </c>
      <c r="D79" s="8"/>
      <c r="E79" s="8">
        <v>0.81021324354657687</v>
      </c>
      <c r="F79">
        <f t="shared" si="4"/>
        <v>0.81021324354657687</v>
      </c>
      <c r="G79">
        <f t="shared" si="3"/>
        <v>-0.18978675645342313</v>
      </c>
    </row>
    <row r="80" spans="1:7" x14ac:dyDescent="0.3">
      <c r="A80" s="4" t="s">
        <v>77</v>
      </c>
      <c r="B80" s="5">
        <v>14917</v>
      </c>
      <c r="C80" s="8">
        <f t="shared" si="2"/>
        <v>3.317634021332605E-2</v>
      </c>
      <c r="D80" s="8"/>
      <c r="E80" s="8">
        <v>0.96009525648452088</v>
      </c>
      <c r="F80">
        <f t="shared" si="4"/>
        <v>0.96009525648452088</v>
      </c>
      <c r="G80">
        <f t="shared" si="3"/>
        <v>-3.9904743515479124E-2</v>
      </c>
    </row>
    <row r="81" spans="1:7" x14ac:dyDescent="0.3">
      <c r="A81" s="4" t="s">
        <v>78</v>
      </c>
      <c r="B81" s="5">
        <v>14649</v>
      </c>
      <c r="C81" s="8">
        <f t="shared" si="2"/>
        <v>-1.7966078970302335E-2</v>
      </c>
      <c r="D81" s="8"/>
      <c r="E81" s="8">
        <v>0.97947312115538909</v>
      </c>
      <c r="F81">
        <f t="shared" si="4"/>
        <v>0.97947312115538909</v>
      </c>
      <c r="G81">
        <f t="shared" si="3"/>
        <v>-2.0526878844610907E-2</v>
      </c>
    </row>
    <row r="82" spans="1:7" x14ac:dyDescent="0.3">
      <c r="A82" s="4" t="s">
        <v>79</v>
      </c>
      <c r="B82" s="5">
        <v>14559</v>
      </c>
      <c r="C82" s="8">
        <f t="shared" si="2"/>
        <v>-6.1437640794593795E-3</v>
      </c>
      <c r="D82" s="8"/>
      <c r="E82" s="8">
        <v>0.87038919112811619</v>
      </c>
      <c r="F82">
        <f t="shared" si="4"/>
        <v>0.87038919112811619</v>
      </c>
      <c r="G82">
        <f t="shared" si="3"/>
        <v>-0.12961080887188381</v>
      </c>
    </row>
    <row r="83" spans="1:7" x14ac:dyDescent="0.3">
      <c r="A83" s="4" t="s">
        <v>80</v>
      </c>
      <c r="B83" s="5">
        <v>13754</v>
      </c>
      <c r="C83" s="8">
        <f t="shared" si="2"/>
        <v>-5.5292259083728257E-2</v>
      </c>
      <c r="D83" s="8"/>
      <c r="E83" s="8">
        <v>0.83590616263522544</v>
      </c>
      <c r="F83">
        <f t="shared" si="4"/>
        <v>0.83590616263522544</v>
      </c>
      <c r="G83">
        <f t="shared" si="3"/>
        <v>-0.16409383736477456</v>
      </c>
    </row>
    <row r="84" spans="1:7" x14ac:dyDescent="0.3">
      <c r="A84" s="4" t="s">
        <v>81</v>
      </c>
      <c r="B84" s="5">
        <v>12840</v>
      </c>
      <c r="C84" s="8">
        <f t="shared" si="2"/>
        <v>-6.6453395375890678E-2</v>
      </c>
      <c r="D84" s="8"/>
      <c r="E84" s="8">
        <v>0.74022829470771356</v>
      </c>
      <c r="F84">
        <f t="shared" si="4"/>
        <v>0.74022829470771356</v>
      </c>
      <c r="G84">
        <f t="shared" si="3"/>
        <v>-0.25977170529228644</v>
      </c>
    </row>
    <row r="85" spans="1:7" x14ac:dyDescent="0.3">
      <c r="A85" s="4" t="s">
        <v>82</v>
      </c>
      <c r="B85" s="5">
        <v>10635</v>
      </c>
      <c r="C85" s="8">
        <f t="shared" ref="C85:C148" si="5">(B85/B84)-1</f>
        <v>-0.17172897196261683</v>
      </c>
      <c r="D85" s="8"/>
      <c r="E85" s="8">
        <v>0.66769211451531896</v>
      </c>
      <c r="F85">
        <f t="shared" si="4"/>
        <v>0.66769211451531896</v>
      </c>
      <c r="G85">
        <f t="shared" si="3"/>
        <v>-0.33230788548468104</v>
      </c>
    </row>
    <row r="86" spans="1:7" x14ac:dyDescent="0.3">
      <c r="A86" s="4" t="s">
        <v>83</v>
      </c>
      <c r="B86" s="5">
        <v>11364</v>
      </c>
      <c r="C86" s="8">
        <f t="shared" si="5"/>
        <v>6.8547249647390673E-2</v>
      </c>
      <c r="D86" s="8"/>
      <c r="E86" s="8">
        <v>0.76437748032555319</v>
      </c>
      <c r="F86">
        <f t="shared" si="4"/>
        <v>0.76437748032555319</v>
      </c>
      <c r="G86">
        <f t="shared" si="3"/>
        <v>-0.23562251967444681</v>
      </c>
    </row>
    <row r="87" spans="1:7" x14ac:dyDescent="0.3">
      <c r="A87" s="4" t="s">
        <v>84</v>
      </c>
      <c r="B87" s="5">
        <v>12931</v>
      </c>
      <c r="C87" s="8">
        <f t="shared" si="5"/>
        <v>0.13789158746920105</v>
      </c>
      <c r="D87" s="8"/>
      <c r="E87" s="8">
        <v>0.97320689395649884</v>
      </c>
      <c r="F87">
        <f t="shared" si="4"/>
        <v>0.97320689395649884</v>
      </c>
      <c r="G87">
        <f t="shared" si="3"/>
        <v>-2.6793106043501158E-2</v>
      </c>
    </row>
    <row r="88" spans="1:7" x14ac:dyDescent="0.3">
      <c r="A88" s="4" t="s">
        <v>85</v>
      </c>
      <c r="B88" s="5">
        <v>13577</v>
      </c>
      <c r="C88" s="8">
        <f t="shared" si="5"/>
        <v>4.9957466553244068E-2</v>
      </c>
      <c r="D88" s="8"/>
      <c r="E88" s="8">
        <v>0.88976997181990958</v>
      </c>
      <c r="F88">
        <f t="shared" si="4"/>
        <v>0.88976997181990958</v>
      </c>
      <c r="G88">
        <f t="shared" si="3"/>
        <v>-0.11023002818009042</v>
      </c>
    </row>
    <row r="89" spans="1:7" x14ac:dyDescent="0.3">
      <c r="A89" s="4" t="s">
        <v>86</v>
      </c>
      <c r="B89" s="5">
        <v>12721</v>
      </c>
      <c r="C89" s="8">
        <f t="shared" si="5"/>
        <v>-6.3047801428887107E-2</v>
      </c>
      <c r="D89" s="8"/>
      <c r="E89" s="8">
        <v>0.71983929379809863</v>
      </c>
      <c r="F89">
        <f t="shared" si="4"/>
        <v>0.71983929379809863</v>
      </c>
      <c r="G89">
        <f t="shared" si="3"/>
        <v>-0.28016070620190137</v>
      </c>
    </row>
    <row r="90" spans="1:7" x14ac:dyDescent="0.3">
      <c r="A90" s="4" t="s">
        <v>87</v>
      </c>
      <c r="B90" s="5">
        <v>14033</v>
      </c>
      <c r="C90" s="8">
        <f t="shared" si="5"/>
        <v>0.10313654586903542</v>
      </c>
      <c r="D90" s="8"/>
      <c r="E90" s="8">
        <v>0.88307847209112078</v>
      </c>
      <c r="F90">
        <f t="shared" si="4"/>
        <v>0.88307847209112078</v>
      </c>
      <c r="G90">
        <f t="shared" si="3"/>
        <v>-0.11692152790887922</v>
      </c>
    </row>
    <row r="91" spans="1:7" x14ac:dyDescent="0.3">
      <c r="A91" s="4" t="s">
        <v>88</v>
      </c>
      <c r="B91" s="5">
        <v>13254</v>
      </c>
      <c r="C91" s="8">
        <f t="shared" si="5"/>
        <v>-5.5512007411102404E-2</v>
      </c>
      <c r="D91" s="8"/>
      <c r="E91" s="8">
        <v>0.91799418201967031</v>
      </c>
      <c r="F91">
        <f t="shared" si="4"/>
        <v>0.91799418201967031</v>
      </c>
      <c r="G91">
        <f t="shared" si="3"/>
        <v>-8.2005817980329687E-2</v>
      </c>
    </row>
    <row r="92" spans="1:7" x14ac:dyDescent="0.3">
      <c r="A92" s="4" t="s">
        <v>89</v>
      </c>
      <c r="B92" s="5">
        <v>13085</v>
      </c>
      <c r="C92" s="8">
        <f t="shared" si="5"/>
        <v>-1.275086766259248E-2</v>
      </c>
      <c r="D92" s="8"/>
      <c r="E92" s="8">
        <v>0.87718710196420191</v>
      </c>
      <c r="F92">
        <f t="shared" si="4"/>
        <v>0.87718710196420191</v>
      </c>
      <c r="G92">
        <f t="shared" si="3"/>
        <v>-0.12281289803579809</v>
      </c>
    </row>
    <row r="93" spans="1:7" x14ac:dyDescent="0.3">
      <c r="A93" s="4" t="s">
        <v>90</v>
      </c>
      <c r="B93" s="5">
        <v>12861</v>
      </c>
      <c r="C93" s="8">
        <f t="shared" si="5"/>
        <v>-1.7118838364539535E-2</v>
      </c>
      <c r="D93" s="8"/>
      <c r="E93" s="8">
        <v>0.8779438869547409</v>
      </c>
      <c r="F93">
        <f t="shared" si="4"/>
        <v>0.8779438869547409</v>
      </c>
      <c r="G93">
        <f t="shared" si="3"/>
        <v>-0.1220561130452591</v>
      </c>
    </row>
    <row r="94" spans="1:7" x14ac:dyDescent="0.3">
      <c r="A94" s="4" t="s">
        <v>91</v>
      </c>
      <c r="B94" s="5">
        <v>11139</v>
      </c>
      <c r="C94" s="8">
        <f t="shared" si="5"/>
        <v>-0.1338931653837182</v>
      </c>
      <c r="D94" s="8"/>
      <c r="E94" s="8">
        <v>0.76509375643931588</v>
      </c>
      <c r="F94">
        <f t="shared" si="4"/>
        <v>0.76509375643931588</v>
      </c>
      <c r="G94">
        <f t="shared" si="3"/>
        <v>-0.23490624356068412</v>
      </c>
    </row>
    <row r="95" spans="1:7" x14ac:dyDescent="0.3">
      <c r="A95" s="4" t="s">
        <v>92</v>
      </c>
      <c r="B95" s="5">
        <v>9762</v>
      </c>
      <c r="C95" s="8">
        <f t="shared" si="5"/>
        <v>-0.12361971451656339</v>
      </c>
      <c r="D95" s="8"/>
      <c r="E95" s="8">
        <v>0.70975716155300272</v>
      </c>
      <c r="F95">
        <f t="shared" si="4"/>
        <v>0.70975716155300272</v>
      </c>
      <c r="G95">
        <f t="shared" si="3"/>
        <v>-0.29024283844699728</v>
      </c>
    </row>
    <row r="96" spans="1:7" x14ac:dyDescent="0.3">
      <c r="A96" s="4" t="s">
        <v>93</v>
      </c>
      <c r="B96" s="5">
        <v>10382</v>
      </c>
      <c r="C96" s="8">
        <f t="shared" si="5"/>
        <v>6.3511575496824513E-2</v>
      </c>
      <c r="D96" s="8"/>
      <c r="E96" s="8">
        <v>0.80856697819314638</v>
      </c>
      <c r="F96">
        <f t="shared" si="4"/>
        <v>0.80856697819314638</v>
      </c>
      <c r="G96">
        <f t="shared" si="3"/>
        <v>-0.19143302180685362</v>
      </c>
    </row>
    <row r="97" spans="1:7" x14ac:dyDescent="0.3">
      <c r="A97" s="4" t="s">
        <v>94</v>
      </c>
      <c r="B97" s="5">
        <v>8622</v>
      </c>
      <c r="C97" s="8">
        <f t="shared" si="5"/>
        <v>-0.16952417645925644</v>
      </c>
      <c r="D97" s="8"/>
      <c r="E97" s="8">
        <v>0.81071932299012694</v>
      </c>
      <c r="F97">
        <f t="shared" si="4"/>
        <v>0.81071932299012694</v>
      </c>
      <c r="G97">
        <f t="shared" si="3"/>
        <v>-0.18928067700987306</v>
      </c>
    </row>
    <row r="98" spans="1:7" x14ac:dyDescent="0.3">
      <c r="A98" s="4" t="s">
        <v>95</v>
      </c>
      <c r="B98" s="5">
        <v>10167</v>
      </c>
      <c r="C98" s="8">
        <f t="shared" si="5"/>
        <v>0.17919276270006956</v>
      </c>
      <c r="D98" s="8"/>
      <c r="E98" s="8">
        <v>0.89466737064413937</v>
      </c>
      <c r="F98">
        <f t="shared" si="4"/>
        <v>0.89466737064413937</v>
      </c>
      <c r="G98">
        <f t="shared" si="3"/>
        <v>-0.10533262935586063</v>
      </c>
    </row>
    <row r="99" spans="1:7" x14ac:dyDescent="0.3">
      <c r="A99" s="4" t="s">
        <v>96</v>
      </c>
      <c r="B99" s="5">
        <v>10508</v>
      </c>
      <c r="C99" s="8">
        <f t="shared" si="5"/>
        <v>3.3539883938231485E-2</v>
      </c>
      <c r="D99" s="8"/>
      <c r="E99" s="8">
        <v>0.81262083365555637</v>
      </c>
      <c r="F99">
        <f t="shared" si="4"/>
        <v>0.81262083365555637</v>
      </c>
      <c r="G99">
        <f t="shared" si="3"/>
        <v>-0.18737916634444363</v>
      </c>
    </row>
    <row r="100" spans="1:7" x14ac:dyDescent="0.3">
      <c r="A100" s="4" t="s">
        <v>97</v>
      </c>
      <c r="B100" s="5">
        <v>11268</v>
      </c>
      <c r="C100" s="8">
        <f t="shared" si="5"/>
        <v>7.2325846973734231E-2</v>
      </c>
      <c r="D100" s="8"/>
      <c r="E100" s="8">
        <v>0.82993297488399498</v>
      </c>
      <c r="F100">
        <f t="shared" si="4"/>
        <v>0.82993297488399498</v>
      </c>
      <c r="G100">
        <f t="shared" si="3"/>
        <v>-0.17006702511600502</v>
      </c>
    </row>
    <row r="101" spans="1:7" x14ac:dyDescent="0.3">
      <c r="A101" s="4" t="s">
        <v>98</v>
      </c>
      <c r="B101" s="5">
        <v>10941</v>
      </c>
      <c r="C101" s="8">
        <f t="shared" si="5"/>
        <v>-2.9020234291799785E-2</v>
      </c>
      <c r="D101" s="8"/>
      <c r="E101" s="8">
        <v>0.86007389356182695</v>
      </c>
      <c r="F101">
        <f t="shared" si="4"/>
        <v>0.86007389356182695</v>
      </c>
      <c r="G101">
        <f t="shared" si="3"/>
        <v>-0.13992610643817305</v>
      </c>
    </row>
    <row r="102" spans="1:7" x14ac:dyDescent="0.3">
      <c r="A102" s="4" t="s">
        <v>99</v>
      </c>
      <c r="B102" s="5">
        <v>10280</v>
      </c>
      <c r="C102" s="8">
        <f t="shared" si="5"/>
        <v>-6.0414952929348287E-2</v>
      </c>
      <c r="D102" s="8"/>
      <c r="E102" s="8">
        <v>0.73255896814651178</v>
      </c>
      <c r="F102">
        <f t="shared" si="4"/>
        <v>0.73255896814651178</v>
      </c>
      <c r="G102">
        <f t="shared" si="3"/>
        <v>-0.26744103185348822</v>
      </c>
    </row>
    <row r="103" spans="1:7" x14ac:dyDescent="0.3">
      <c r="A103" s="4" t="s">
        <v>100</v>
      </c>
      <c r="B103" s="5">
        <v>11273</v>
      </c>
      <c r="C103" s="8">
        <f t="shared" si="5"/>
        <v>9.6595330739299712E-2</v>
      </c>
      <c r="D103" s="8"/>
      <c r="E103" s="8">
        <v>0.850535687339671</v>
      </c>
      <c r="F103">
        <f t="shared" si="4"/>
        <v>0.850535687339671</v>
      </c>
      <c r="G103">
        <f t="shared" si="3"/>
        <v>-0.149464312660329</v>
      </c>
    </row>
    <row r="104" spans="1:7" x14ac:dyDescent="0.3">
      <c r="A104" s="4" t="s">
        <v>101</v>
      </c>
      <c r="B104" s="5">
        <v>12556</v>
      </c>
      <c r="C104" s="8">
        <f t="shared" si="5"/>
        <v>0.11381176261864634</v>
      </c>
      <c r="D104" s="8"/>
      <c r="E104" s="8">
        <v>0.95957202904088656</v>
      </c>
      <c r="F104">
        <f t="shared" si="4"/>
        <v>0.95957202904088656</v>
      </c>
      <c r="G104">
        <f t="shared" si="3"/>
        <v>-4.0427970959113435E-2</v>
      </c>
    </row>
    <row r="105" spans="1:7" x14ac:dyDescent="0.3">
      <c r="A105" s="4" t="s">
        <v>102</v>
      </c>
      <c r="B105" s="5">
        <v>13421</v>
      </c>
      <c r="C105" s="8">
        <f t="shared" si="5"/>
        <v>6.8891366677285681E-2</v>
      </c>
      <c r="D105" s="8"/>
      <c r="E105" s="8">
        <v>1.0435424928077133</v>
      </c>
      <c r="F105">
        <f t="shared" si="4"/>
        <v>1.0435424928077133</v>
      </c>
      <c r="G105">
        <f t="shared" si="3"/>
        <v>4.3542492807713273E-2</v>
      </c>
    </row>
    <row r="106" spans="1:7" x14ac:dyDescent="0.3">
      <c r="A106" s="4" t="s">
        <v>103</v>
      </c>
      <c r="B106" s="5">
        <v>12972</v>
      </c>
      <c r="C106" s="8">
        <f t="shared" si="5"/>
        <v>-3.345503315699272E-2</v>
      </c>
      <c r="D106" s="8"/>
      <c r="E106" s="8">
        <v>1.1645569620253164</v>
      </c>
      <c r="F106">
        <f t="shared" si="4"/>
        <v>1.1645569620253164</v>
      </c>
      <c r="G106">
        <f t="shared" si="3"/>
        <v>0.16455696202531644</v>
      </c>
    </row>
    <row r="107" spans="1:7" x14ac:dyDescent="0.3">
      <c r="A107" s="4" t="s">
        <v>104</v>
      </c>
      <c r="B107" s="5">
        <v>13571</v>
      </c>
      <c r="C107" s="8">
        <f t="shared" si="5"/>
        <v>4.6176379895158881E-2</v>
      </c>
      <c r="D107" s="8"/>
      <c r="E107" s="8">
        <v>1.3901864372054906</v>
      </c>
      <c r="F107">
        <f t="shared" si="4"/>
        <v>1.3901864372054906</v>
      </c>
      <c r="G107">
        <f t="shared" si="3"/>
        <v>0.39018643720549062</v>
      </c>
    </row>
    <row r="108" spans="1:7" x14ac:dyDescent="0.3">
      <c r="A108" s="4" t="s">
        <v>105</v>
      </c>
      <c r="B108" s="5">
        <v>15174</v>
      </c>
      <c r="C108" s="8">
        <f t="shared" si="5"/>
        <v>0.11811951956377564</v>
      </c>
      <c r="D108" s="8"/>
      <c r="E108" s="8">
        <v>1.4615680986322481</v>
      </c>
      <c r="F108">
        <f t="shared" si="4"/>
        <v>1.4615680986322481</v>
      </c>
      <c r="G108">
        <f t="shared" si="3"/>
        <v>0.46156809863224812</v>
      </c>
    </row>
    <row r="109" spans="1:7" x14ac:dyDescent="0.3">
      <c r="A109" s="4" t="s">
        <v>106</v>
      </c>
      <c r="B109" s="5">
        <v>16010</v>
      </c>
      <c r="C109" s="8">
        <f t="shared" si="5"/>
        <v>5.5094240147620877E-2</v>
      </c>
      <c r="D109" s="8"/>
      <c r="E109" s="8">
        <v>1.8568777545813036</v>
      </c>
      <c r="F109">
        <f t="shared" si="4"/>
        <v>1.8568777545813036</v>
      </c>
      <c r="G109">
        <f t="shared" si="3"/>
        <v>0.85687775458130355</v>
      </c>
    </row>
    <row r="110" spans="1:7" x14ac:dyDescent="0.3">
      <c r="A110" s="4" t="s">
        <v>107</v>
      </c>
      <c r="B110" s="5">
        <v>17982</v>
      </c>
      <c r="C110" s="8">
        <f t="shared" si="5"/>
        <v>0.12317301686445981</v>
      </c>
      <c r="D110" s="8"/>
      <c r="E110" s="8">
        <v>1.768663322514016</v>
      </c>
      <c r="F110">
        <f t="shared" si="4"/>
        <v>1.768663322514016</v>
      </c>
      <c r="G110">
        <f t="shared" si="3"/>
        <v>0.76866332251401603</v>
      </c>
    </row>
    <row r="111" spans="1:7" x14ac:dyDescent="0.3">
      <c r="A111" s="4" t="s">
        <v>108</v>
      </c>
      <c r="B111" s="5">
        <v>20183</v>
      </c>
      <c r="C111" s="8">
        <f t="shared" si="5"/>
        <v>0.12240017795573355</v>
      </c>
      <c r="D111" s="8"/>
      <c r="E111" s="8">
        <v>1.9207270650932622</v>
      </c>
      <c r="F111">
        <f t="shared" si="4"/>
        <v>1.9207270650932622</v>
      </c>
      <c r="G111">
        <f t="shared" si="3"/>
        <v>0.92072706509326219</v>
      </c>
    </row>
    <row r="112" spans="1:7" x14ac:dyDescent="0.3">
      <c r="A112" s="4" t="s">
        <v>109</v>
      </c>
      <c r="B112" s="5">
        <v>22236</v>
      </c>
      <c r="C112" s="8">
        <f t="shared" si="5"/>
        <v>0.10171926869147296</v>
      </c>
      <c r="D112" s="8"/>
      <c r="E112" s="8">
        <v>1.9733759318423856</v>
      </c>
      <c r="F112">
        <f t="shared" si="4"/>
        <v>1.9733759318423856</v>
      </c>
      <c r="G112">
        <f t="shared" si="3"/>
        <v>0.97337593184238558</v>
      </c>
    </row>
    <row r="113" spans="1:7" x14ac:dyDescent="0.3">
      <c r="A113" s="4" t="s">
        <v>110</v>
      </c>
      <c r="B113" s="5">
        <v>21851</v>
      </c>
      <c r="C113" s="8">
        <f t="shared" si="5"/>
        <v>-1.7314265155603525E-2</v>
      </c>
      <c r="D113" s="8"/>
      <c r="E113" s="8">
        <v>1.9971666209670049</v>
      </c>
      <c r="F113">
        <f t="shared" si="4"/>
        <v>1.9971666209670049</v>
      </c>
      <c r="G113">
        <f t="shared" si="3"/>
        <v>0.99716662096700492</v>
      </c>
    </row>
    <row r="114" spans="1:7" x14ac:dyDescent="0.3">
      <c r="A114" s="4" t="s">
        <v>111</v>
      </c>
      <c r="B114" s="5">
        <v>21755</v>
      </c>
      <c r="C114" s="8">
        <f t="shared" si="5"/>
        <v>-4.3933916067914192E-3</v>
      </c>
      <c r="D114" s="8"/>
      <c r="E114" s="8">
        <v>2.1162451361867705</v>
      </c>
      <c r="F114">
        <f t="shared" si="4"/>
        <v>2.1162451361867705</v>
      </c>
      <c r="G114">
        <f t="shared" si="3"/>
        <v>1.1162451361867705</v>
      </c>
    </row>
    <row r="115" spans="1:7" x14ac:dyDescent="0.3">
      <c r="A115" s="4" t="s">
        <v>112</v>
      </c>
      <c r="B115" s="5">
        <v>22142</v>
      </c>
      <c r="C115" s="8">
        <f t="shared" si="5"/>
        <v>1.7789014019765625E-2</v>
      </c>
      <c r="D115" s="8"/>
      <c r="E115" s="8">
        <v>1.9641621573671604</v>
      </c>
      <c r="F115">
        <f t="shared" si="4"/>
        <v>1.9641621573671604</v>
      </c>
      <c r="G115">
        <f t="shared" si="3"/>
        <v>0.96416215736716038</v>
      </c>
    </row>
    <row r="116" spans="1:7" x14ac:dyDescent="0.3">
      <c r="A116" s="4" t="s">
        <v>113</v>
      </c>
      <c r="B116" s="5">
        <v>19607</v>
      </c>
      <c r="C116" s="8">
        <f t="shared" si="5"/>
        <v>-0.11448830277301059</v>
      </c>
      <c r="D116" s="8"/>
      <c r="E116" s="8">
        <v>1.5615641924179675</v>
      </c>
      <c r="F116">
        <f t="shared" si="4"/>
        <v>1.5615641924179675</v>
      </c>
      <c r="G116">
        <f t="shared" si="3"/>
        <v>0.56156419241796751</v>
      </c>
    </row>
    <row r="117" spans="1:7" x14ac:dyDescent="0.3">
      <c r="A117" s="4" t="s">
        <v>114</v>
      </c>
      <c r="B117" s="5">
        <v>19544</v>
      </c>
      <c r="C117" s="8">
        <f t="shared" si="5"/>
        <v>-3.2131381649410651E-3</v>
      </c>
      <c r="D117" s="8"/>
      <c r="E117" s="8">
        <v>1.4562253185306608</v>
      </c>
      <c r="F117">
        <f t="shared" si="4"/>
        <v>1.4562253185306608</v>
      </c>
      <c r="G117">
        <f t="shared" si="3"/>
        <v>0.45622531853066084</v>
      </c>
    </row>
    <row r="118" spans="1:7" x14ac:dyDescent="0.3">
      <c r="A118" s="4" t="s">
        <v>115</v>
      </c>
      <c r="B118" s="5">
        <v>21148</v>
      </c>
      <c r="C118" s="8">
        <f t="shared" si="5"/>
        <v>8.207122390503474E-2</v>
      </c>
      <c r="D118" s="8"/>
      <c r="E118" s="8">
        <v>1.6302806043786617</v>
      </c>
      <c r="F118">
        <f t="shared" si="4"/>
        <v>1.6302806043786617</v>
      </c>
      <c r="G118">
        <f t="shared" si="3"/>
        <v>0.63028060437866174</v>
      </c>
    </row>
    <row r="119" spans="1:7" x14ac:dyDescent="0.3">
      <c r="A119" s="4" t="s">
        <v>116</v>
      </c>
      <c r="B119" s="5">
        <v>22336</v>
      </c>
      <c r="C119" s="8">
        <f t="shared" si="5"/>
        <v>5.6175524872328353E-2</v>
      </c>
      <c r="D119" s="8"/>
      <c r="E119" s="8">
        <v>1.6458625009210817</v>
      </c>
      <c r="F119">
        <f t="shared" si="4"/>
        <v>1.6458625009210817</v>
      </c>
      <c r="G119">
        <f t="shared" si="3"/>
        <v>0.64586250092108166</v>
      </c>
    </row>
    <row r="120" spans="1:7" x14ac:dyDescent="0.3">
      <c r="A120" s="4" t="s">
        <v>117</v>
      </c>
      <c r="B120" s="5">
        <v>22803</v>
      </c>
      <c r="C120" s="8">
        <f t="shared" si="5"/>
        <v>2.0907951289398374E-2</v>
      </c>
      <c r="D120" s="8"/>
      <c r="E120" s="8">
        <v>1.5027678924476078</v>
      </c>
      <c r="F120">
        <f t="shared" si="4"/>
        <v>1.5027678924476078</v>
      </c>
      <c r="G120">
        <f t="shared" si="3"/>
        <v>0.50276789244760778</v>
      </c>
    </row>
    <row r="121" spans="1:7" x14ac:dyDescent="0.3">
      <c r="A121" s="4" t="s">
        <v>118</v>
      </c>
      <c r="B121" s="5">
        <v>23245</v>
      </c>
      <c r="C121" s="8">
        <f t="shared" si="5"/>
        <v>1.9383414463009174E-2</v>
      </c>
      <c r="D121" s="8"/>
      <c r="E121" s="8">
        <v>1.4519050593379137</v>
      </c>
      <c r="F121">
        <f t="shared" si="4"/>
        <v>1.4519050593379137</v>
      </c>
      <c r="G121">
        <f t="shared" si="3"/>
        <v>0.45190505933791369</v>
      </c>
    </row>
    <row r="122" spans="1:7" x14ac:dyDescent="0.3">
      <c r="A122" s="4" t="s">
        <v>119</v>
      </c>
      <c r="B122" s="5">
        <v>23052</v>
      </c>
      <c r="C122" s="8">
        <f t="shared" si="5"/>
        <v>-8.3028608302860851E-3</v>
      </c>
      <c r="D122" s="8"/>
      <c r="E122" s="8">
        <v>1.2819486152819486</v>
      </c>
      <c r="F122">
        <f t="shared" si="4"/>
        <v>1.2819486152819486</v>
      </c>
      <c r="G122">
        <f t="shared" si="3"/>
        <v>0.28194861528194859</v>
      </c>
    </row>
    <row r="123" spans="1:7" x14ac:dyDescent="0.3">
      <c r="A123" s="4" t="s">
        <v>120</v>
      </c>
      <c r="B123" s="5">
        <v>25128</v>
      </c>
      <c r="C123" s="8">
        <f t="shared" si="5"/>
        <v>9.0057261842790171E-2</v>
      </c>
      <c r="D123" s="8"/>
      <c r="E123" s="8">
        <v>1.245008175196948</v>
      </c>
      <c r="F123">
        <f t="shared" si="4"/>
        <v>1.245008175196948</v>
      </c>
      <c r="G123">
        <f t="shared" si="3"/>
        <v>0.24500817519694795</v>
      </c>
    </row>
    <row r="124" spans="1:7" x14ac:dyDescent="0.3">
      <c r="A124" s="4" t="s">
        <v>121</v>
      </c>
      <c r="B124" s="5">
        <v>26196</v>
      </c>
      <c r="C124" s="8">
        <f t="shared" si="5"/>
        <v>4.250238777459403E-2</v>
      </c>
      <c r="D124" s="8"/>
      <c r="E124" s="8">
        <v>1.1780895844576362</v>
      </c>
      <c r="F124">
        <f t="shared" si="4"/>
        <v>1.1780895844576362</v>
      </c>
      <c r="G124">
        <f t="shared" si="3"/>
        <v>0.17808958445763623</v>
      </c>
    </row>
    <row r="125" spans="1:7" x14ac:dyDescent="0.3">
      <c r="A125" s="4" t="s">
        <v>122</v>
      </c>
      <c r="B125" s="5">
        <v>24350</v>
      </c>
      <c r="C125" s="8">
        <f t="shared" si="5"/>
        <v>-7.0468773858604394E-2</v>
      </c>
      <c r="D125" s="8"/>
      <c r="E125" s="8">
        <v>1.11436547526429</v>
      </c>
      <c r="F125">
        <f t="shared" si="4"/>
        <v>1.11436547526429</v>
      </c>
      <c r="G125">
        <f t="shared" si="3"/>
        <v>0.11436547526428997</v>
      </c>
    </row>
    <row r="126" spans="1:7" x14ac:dyDescent="0.3">
      <c r="A126" s="4" t="s">
        <v>123</v>
      </c>
      <c r="B126" s="5">
        <v>28139</v>
      </c>
      <c r="C126" s="8">
        <f t="shared" si="5"/>
        <v>0.15560574948665296</v>
      </c>
      <c r="D126" s="8"/>
      <c r="E126" s="8">
        <v>1.2934497816593886</v>
      </c>
      <c r="F126">
        <f t="shared" si="4"/>
        <v>1.2934497816593886</v>
      </c>
      <c r="G126">
        <f t="shared" si="3"/>
        <v>0.29344978165938862</v>
      </c>
    </row>
    <row r="127" spans="1:7" x14ac:dyDescent="0.3">
      <c r="A127" s="4" t="s">
        <v>124</v>
      </c>
      <c r="B127" s="5">
        <v>26610</v>
      </c>
      <c r="C127" s="8">
        <f t="shared" si="5"/>
        <v>-5.4337396495966472E-2</v>
      </c>
      <c r="D127" s="8"/>
      <c r="E127" s="8">
        <v>1.2017884563273418</v>
      </c>
      <c r="F127">
        <f t="shared" si="4"/>
        <v>1.2017884563273418</v>
      </c>
      <c r="G127">
        <f t="shared" si="3"/>
        <v>0.20178845632734177</v>
      </c>
    </row>
    <row r="128" spans="1:7" x14ac:dyDescent="0.3">
      <c r="A128" s="4" t="s">
        <v>125</v>
      </c>
      <c r="B128" s="5">
        <v>24843</v>
      </c>
      <c r="C128" s="8">
        <f t="shared" si="5"/>
        <v>-6.6403607666290831E-2</v>
      </c>
      <c r="D128" s="8"/>
      <c r="E128" s="8">
        <v>1.2670474830417708</v>
      </c>
      <c r="F128">
        <f t="shared" si="4"/>
        <v>1.2670474830417708</v>
      </c>
      <c r="G128">
        <f t="shared" si="3"/>
        <v>0.26704748304177084</v>
      </c>
    </row>
    <row r="129" spans="1:7" x14ac:dyDescent="0.3">
      <c r="A129" s="4" t="s">
        <v>126</v>
      </c>
      <c r="B129" s="5">
        <v>25207</v>
      </c>
      <c r="C129" s="8">
        <f t="shared" si="5"/>
        <v>1.46520146520146E-2</v>
      </c>
      <c r="D129" s="8"/>
      <c r="E129" s="8">
        <v>1.289756446991404</v>
      </c>
      <c r="F129">
        <f t="shared" si="4"/>
        <v>1.289756446991404</v>
      </c>
      <c r="G129">
        <f t="shared" si="3"/>
        <v>0.28975644699140402</v>
      </c>
    </row>
    <row r="130" spans="1:7" x14ac:dyDescent="0.3">
      <c r="A130" s="4" t="s">
        <v>127</v>
      </c>
      <c r="B130" s="5">
        <v>25051</v>
      </c>
      <c r="C130" s="8">
        <f t="shared" si="5"/>
        <v>-6.1887570912841916E-3</v>
      </c>
      <c r="D130" s="8"/>
      <c r="E130" s="8">
        <v>1.1845564592396445</v>
      </c>
      <c r="F130">
        <f t="shared" si="4"/>
        <v>1.1845564592396445</v>
      </c>
      <c r="G130">
        <f t="shared" si="3"/>
        <v>0.18455645923964448</v>
      </c>
    </row>
    <row r="131" spans="1:7" x14ac:dyDescent="0.3">
      <c r="A131" s="4" t="s">
        <v>128</v>
      </c>
      <c r="B131" s="5">
        <v>26042</v>
      </c>
      <c r="C131" s="8">
        <f t="shared" si="5"/>
        <v>3.95592990299789E-2</v>
      </c>
      <c r="D131" s="8"/>
      <c r="E131" s="8">
        <v>1.1659204871060171</v>
      </c>
      <c r="F131">
        <f t="shared" si="4"/>
        <v>1.1659204871060171</v>
      </c>
      <c r="G131">
        <f t="shared" si="3"/>
        <v>0.16592048710601714</v>
      </c>
    </row>
    <row r="132" spans="1:7" x14ac:dyDescent="0.3">
      <c r="A132" s="4" t="s">
        <v>129</v>
      </c>
      <c r="B132" s="5">
        <v>28044</v>
      </c>
      <c r="C132" s="8">
        <f t="shared" si="5"/>
        <v>7.6875815989555285E-2</v>
      </c>
      <c r="D132" s="8"/>
      <c r="E132" s="8">
        <v>1.229838179186949</v>
      </c>
      <c r="F132">
        <f t="shared" si="4"/>
        <v>1.229838179186949</v>
      </c>
      <c r="G132">
        <f t="shared" si="3"/>
        <v>0.22983817918694904</v>
      </c>
    </row>
    <row r="133" spans="1:7" x14ac:dyDescent="0.3">
      <c r="A133" s="4" t="s">
        <v>130</v>
      </c>
      <c r="B133" s="5">
        <v>31583</v>
      </c>
      <c r="C133" s="8">
        <f t="shared" si="5"/>
        <v>0.12619455141919844</v>
      </c>
      <c r="D133" s="8"/>
      <c r="E133" s="8">
        <v>1.3587007958700796</v>
      </c>
      <c r="F133">
        <f t="shared" si="4"/>
        <v>1.3587007958700796</v>
      </c>
      <c r="G133">
        <f t="shared" si="3"/>
        <v>0.35870079587007964</v>
      </c>
    </row>
    <row r="134" spans="1:7" x14ac:dyDescent="0.3">
      <c r="A134" s="4" t="s">
        <v>131</v>
      </c>
      <c r="B134" s="5">
        <v>30193</v>
      </c>
      <c r="C134" s="8">
        <f t="shared" si="5"/>
        <v>-4.4011018585948136E-2</v>
      </c>
      <c r="D134" s="8"/>
      <c r="E134" s="8">
        <v>1.3097778934582682</v>
      </c>
      <c r="F134">
        <f t="shared" si="4"/>
        <v>1.3097778934582682</v>
      </c>
      <c r="G134">
        <f t="shared" si="3"/>
        <v>0.30977789345826823</v>
      </c>
    </row>
    <row r="135" spans="1:7" x14ac:dyDescent="0.3">
      <c r="A135" s="4" t="s">
        <v>132</v>
      </c>
      <c r="B135" s="5">
        <v>31916</v>
      </c>
      <c r="C135" s="8">
        <f t="shared" si="5"/>
        <v>5.7066207399065982E-2</v>
      </c>
      <c r="D135" s="8"/>
      <c r="E135" s="8">
        <v>1.2701368990767272</v>
      </c>
      <c r="F135">
        <f t="shared" si="4"/>
        <v>1.2701368990767272</v>
      </c>
      <c r="G135">
        <f t="shared" si="3"/>
        <v>0.27013689907672722</v>
      </c>
    </row>
    <row r="136" spans="1:7" x14ac:dyDescent="0.3">
      <c r="A136" s="4" t="s">
        <v>133</v>
      </c>
      <c r="B136" s="5">
        <v>33455</v>
      </c>
      <c r="C136" s="8">
        <f t="shared" si="5"/>
        <v>4.8220328361950227E-2</v>
      </c>
      <c r="D136" s="8"/>
      <c r="E136" s="8">
        <v>1.2771033745610016</v>
      </c>
      <c r="F136">
        <f t="shared" si="4"/>
        <v>1.2771033745610016</v>
      </c>
      <c r="G136">
        <f t="shared" ref="G136:G199" si="6">F136-1</f>
        <v>0.27710337456100165</v>
      </c>
    </row>
    <row r="137" spans="1:7" x14ac:dyDescent="0.3">
      <c r="A137" s="4" t="s">
        <v>134</v>
      </c>
      <c r="B137" s="5">
        <v>38382</v>
      </c>
      <c r="C137" s="8">
        <f t="shared" si="5"/>
        <v>0.14727245553728885</v>
      </c>
      <c r="D137" s="8"/>
      <c r="E137" s="8">
        <v>1.5762628336755646</v>
      </c>
      <c r="F137">
        <f t="shared" si="4"/>
        <v>1.5762628336755646</v>
      </c>
      <c r="G137">
        <f t="shared" si="6"/>
        <v>0.57626283367556463</v>
      </c>
    </row>
    <row r="138" spans="1:7" x14ac:dyDescent="0.3">
      <c r="A138" s="4" t="s">
        <v>135</v>
      </c>
      <c r="B138" s="5">
        <v>38610</v>
      </c>
      <c r="C138" s="8">
        <f t="shared" si="5"/>
        <v>5.9402845083633693E-3</v>
      </c>
      <c r="D138" s="8"/>
      <c r="E138" s="8">
        <v>1.3721169906535413</v>
      </c>
      <c r="F138">
        <f t="shared" si="4"/>
        <v>1.3721169906535413</v>
      </c>
      <c r="G138">
        <f t="shared" si="6"/>
        <v>0.37211699065354131</v>
      </c>
    </row>
    <row r="139" spans="1:7" x14ac:dyDescent="0.3">
      <c r="A139" s="4" t="s">
        <v>136</v>
      </c>
      <c r="B139" s="5">
        <v>37951</v>
      </c>
      <c r="C139" s="8">
        <f t="shared" si="5"/>
        <v>-1.7068117068117061E-2</v>
      </c>
      <c r="D139" s="8"/>
      <c r="E139" s="8">
        <v>1.4261931604659903</v>
      </c>
      <c r="F139">
        <f t="shared" si="4"/>
        <v>1.4261931604659903</v>
      </c>
      <c r="G139">
        <f t="shared" si="6"/>
        <v>0.42619316046599032</v>
      </c>
    </row>
    <row r="140" spans="1:7" x14ac:dyDescent="0.3">
      <c r="A140" s="4" t="s">
        <v>137</v>
      </c>
      <c r="B140" s="5">
        <v>40363</v>
      </c>
      <c r="C140" s="8">
        <f t="shared" si="5"/>
        <v>6.3555637532607845E-2</v>
      </c>
      <c r="D140" s="8"/>
      <c r="E140" s="8">
        <v>1.6247232620858993</v>
      </c>
      <c r="F140">
        <f t="shared" si="4"/>
        <v>1.6247232620858993</v>
      </c>
      <c r="G140">
        <f t="shared" si="6"/>
        <v>0.62472326208589934</v>
      </c>
    </row>
    <row r="141" spans="1:7" x14ac:dyDescent="0.3">
      <c r="A141" s="4" t="s">
        <v>138</v>
      </c>
      <c r="B141" s="5">
        <v>36530</v>
      </c>
      <c r="C141" s="8">
        <f t="shared" si="5"/>
        <v>-9.4963208879419225E-2</v>
      </c>
      <c r="D141" s="8"/>
      <c r="E141" s="8">
        <v>1.4492006188757092</v>
      </c>
      <c r="F141">
        <f t="shared" ref="F141:F204" si="7">B141/B129</f>
        <v>1.4492006188757092</v>
      </c>
      <c r="G141">
        <f t="shared" si="6"/>
        <v>0.44920061887570917</v>
      </c>
    </row>
    <row r="142" spans="1:7" x14ac:dyDescent="0.3">
      <c r="A142" s="4" t="s">
        <v>139</v>
      </c>
      <c r="B142" s="5">
        <v>36630</v>
      </c>
      <c r="C142" s="8">
        <f t="shared" si="5"/>
        <v>2.7374760470846304E-3</v>
      </c>
      <c r="D142" s="8"/>
      <c r="E142" s="8">
        <v>1.4622170771625884</v>
      </c>
      <c r="F142">
        <f t="shared" si="7"/>
        <v>1.4622170771625884</v>
      </c>
      <c r="G142">
        <f t="shared" si="6"/>
        <v>0.46221707716258842</v>
      </c>
    </row>
    <row r="143" spans="1:7" x14ac:dyDescent="0.3">
      <c r="A143" s="4" t="s">
        <v>140</v>
      </c>
      <c r="B143" s="5">
        <v>37077</v>
      </c>
      <c r="C143" s="8">
        <f t="shared" si="5"/>
        <v>1.2203112203112099E-2</v>
      </c>
      <c r="D143" s="8"/>
      <c r="E143" s="8">
        <v>1.4237385761462253</v>
      </c>
      <c r="F143">
        <f t="shared" si="7"/>
        <v>1.4237385761462253</v>
      </c>
      <c r="G143">
        <f t="shared" si="6"/>
        <v>0.42373857614622534</v>
      </c>
    </row>
    <row r="144" spans="1:7" x14ac:dyDescent="0.3">
      <c r="A144" s="4" t="s">
        <v>141</v>
      </c>
      <c r="B144" s="5">
        <v>36232</v>
      </c>
      <c r="C144" s="8">
        <f t="shared" si="5"/>
        <v>-2.2790409148528701E-2</v>
      </c>
      <c r="D144" s="8"/>
      <c r="E144" s="8">
        <v>1.2919697618028811</v>
      </c>
      <c r="F144">
        <f t="shared" si="7"/>
        <v>1.2919697618028811</v>
      </c>
      <c r="G144">
        <f t="shared" si="6"/>
        <v>0.29196976180288114</v>
      </c>
    </row>
    <row r="145" spans="1:7" x14ac:dyDescent="0.3">
      <c r="A145" s="4" t="s">
        <v>142</v>
      </c>
      <c r="B145" s="5">
        <v>36449</v>
      </c>
      <c r="C145" s="8">
        <f t="shared" si="5"/>
        <v>5.9891808346212994E-3</v>
      </c>
      <c r="D145" s="8"/>
      <c r="E145" s="8">
        <v>1.1540702276541177</v>
      </c>
      <c r="F145">
        <f t="shared" si="7"/>
        <v>1.1540702276541177</v>
      </c>
      <c r="G145">
        <f t="shared" si="6"/>
        <v>0.15407022765411771</v>
      </c>
    </row>
    <row r="146" spans="1:7" x14ac:dyDescent="0.3">
      <c r="A146" s="4" t="s">
        <v>143</v>
      </c>
      <c r="B146" s="5">
        <v>39262</v>
      </c>
      <c r="C146" s="8">
        <f t="shared" si="5"/>
        <v>7.717632856868506E-2</v>
      </c>
      <c r="D146" s="8"/>
      <c r="E146" s="8">
        <v>1.3003676348822575</v>
      </c>
      <c r="F146">
        <f t="shared" si="7"/>
        <v>1.3003676348822575</v>
      </c>
      <c r="G146">
        <f t="shared" si="6"/>
        <v>0.30036763488225748</v>
      </c>
    </row>
    <row r="147" spans="1:7" x14ac:dyDescent="0.3">
      <c r="A147" s="4" t="s">
        <v>144</v>
      </c>
      <c r="B147" s="5">
        <v>41931</v>
      </c>
      <c r="C147" s="8">
        <f t="shared" si="5"/>
        <v>6.7979216545259957E-2</v>
      </c>
      <c r="D147" s="8"/>
      <c r="E147" s="8">
        <v>1.3137924551948865</v>
      </c>
      <c r="F147">
        <f t="shared" si="7"/>
        <v>1.3137924551948865</v>
      </c>
      <c r="G147">
        <f t="shared" si="6"/>
        <v>0.31379245519488652</v>
      </c>
    </row>
    <row r="148" spans="1:7" x14ac:dyDescent="0.3">
      <c r="A148" s="4" t="s">
        <v>145</v>
      </c>
      <c r="B148" s="5">
        <v>44473</v>
      </c>
      <c r="C148" s="8">
        <f t="shared" si="5"/>
        <v>6.0623405117931739E-2</v>
      </c>
      <c r="D148" s="8"/>
      <c r="E148" s="8">
        <v>1.3293379166043939</v>
      </c>
      <c r="F148">
        <f t="shared" si="7"/>
        <v>1.3293379166043939</v>
      </c>
      <c r="G148">
        <f t="shared" si="6"/>
        <v>0.32933791660439393</v>
      </c>
    </row>
    <row r="149" spans="1:7" x14ac:dyDescent="0.3">
      <c r="A149" s="4" t="s">
        <v>146</v>
      </c>
      <c r="B149" s="5">
        <v>44641</v>
      </c>
      <c r="C149" s="8">
        <f t="shared" ref="C149:C212" si="8">(B149/B148)-1</f>
        <v>3.7775729094056132E-3</v>
      </c>
      <c r="D149" s="8"/>
      <c r="E149" s="8">
        <v>1.1630712313063416</v>
      </c>
      <c r="F149">
        <f t="shared" si="7"/>
        <v>1.1630712313063416</v>
      </c>
      <c r="G149">
        <f t="shared" si="6"/>
        <v>0.1630712313063416</v>
      </c>
    </row>
    <row r="150" spans="1:7" x14ac:dyDescent="0.3">
      <c r="A150" s="4" t="s">
        <v>147</v>
      </c>
      <c r="B150" s="5">
        <v>43892</v>
      </c>
      <c r="C150" s="8">
        <f t="shared" si="8"/>
        <v>-1.6778297977195877E-2</v>
      </c>
      <c r="D150" s="8"/>
      <c r="E150" s="8">
        <v>1.1368039368039369</v>
      </c>
      <c r="F150">
        <f t="shared" si="7"/>
        <v>1.1368039368039369</v>
      </c>
      <c r="G150">
        <f t="shared" si="6"/>
        <v>0.13680393680393688</v>
      </c>
    </row>
    <row r="151" spans="1:7" x14ac:dyDescent="0.3">
      <c r="A151" s="4" t="s">
        <v>148</v>
      </c>
      <c r="B151" s="5">
        <v>45804</v>
      </c>
      <c r="C151" s="8">
        <f t="shared" si="8"/>
        <v>4.3561469060421132E-2</v>
      </c>
      <c r="D151" s="8"/>
      <c r="E151" s="8">
        <v>1.2069247187162393</v>
      </c>
      <c r="F151">
        <f t="shared" si="7"/>
        <v>1.2069247187162393</v>
      </c>
      <c r="G151">
        <f t="shared" si="6"/>
        <v>0.2069247187162393</v>
      </c>
    </row>
    <row r="152" spans="1:7" x14ac:dyDescent="0.3">
      <c r="A152" s="4" t="s">
        <v>149</v>
      </c>
      <c r="B152" s="5">
        <v>48956</v>
      </c>
      <c r="C152" s="8">
        <f t="shared" si="8"/>
        <v>6.8814950659330965E-2</v>
      </c>
      <c r="D152" s="8"/>
      <c r="E152" s="8">
        <v>1.2128929960607486</v>
      </c>
      <c r="F152">
        <f t="shared" si="7"/>
        <v>1.2128929960607486</v>
      </c>
      <c r="G152">
        <f t="shared" si="6"/>
        <v>0.21289299606074863</v>
      </c>
    </row>
    <row r="153" spans="1:7" x14ac:dyDescent="0.3">
      <c r="A153" s="4" t="s">
        <v>150</v>
      </c>
      <c r="B153" s="5">
        <v>52268</v>
      </c>
      <c r="C153" s="8">
        <f t="shared" si="8"/>
        <v>6.7652585995587877E-2</v>
      </c>
      <c r="D153" s="8"/>
      <c r="E153" s="8">
        <v>1.4308239802901725</v>
      </c>
      <c r="F153">
        <f t="shared" si="7"/>
        <v>1.4308239802901725</v>
      </c>
      <c r="G153">
        <f t="shared" si="6"/>
        <v>0.43082398029017255</v>
      </c>
    </row>
    <row r="154" spans="1:7" x14ac:dyDescent="0.3">
      <c r="A154" s="4" t="s">
        <v>151</v>
      </c>
      <c r="B154" s="5">
        <v>54392</v>
      </c>
      <c r="C154" s="8">
        <f t="shared" si="8"/>
        <v>4.0636718451059872E-2</v>
      </c>
      <c r="D154" s="8"/>
      <c r="E154" s="8">
        <v>1.4849030849030849</v>
      </c>
      <c r="F154">
        <f t="shared" si="7"/>
        <v>1.4849030849030849</v>
      </c>
      <c r="G154">
        <f t="shared" si="6"/>
        <v>0.48490308490308487</v>
      </c>
    </row>
    <row r="155" spans="1:7" x14ac:dyDescent="0.3">
      <c r="A155" s="4" t="s">
        <v>152</v>
      </c>
      <c r="B155" s="5">
        <v>54182</v>
      </c>
      <c r="C155" s="8">
        <f t="shared" si="8"/>
        <v>-3.8608618914546255E-3</v>
      </c>
      <c r="D155" s="8"/>
      <c r="E155" s="8">
        <v>1.461337217142703</v>
      </c>
      <c r="F155">
        <f t="shared" si="7"/>
        <v>1.461337217142703</v>
      </c>
      <c r="G155">
        <f t="shared" si="6"/>
        <v>0.46133721714270304</v>
      </c>
    </row>
    <row r="156" spans="1:7" x14ac:dyDescent="0.3">
      <c r="A156" s="4" t="s">
        <v>153</v>
      </c>
      <c r="B156" s="5">
        <v>54637</v>
      </c>
      <c r="C156" s="8">
        <f t="shared" si="8"/>
        <v>8.3976228267690356E-3</v>
      </c>
      <c r="D156" s="8"/>
      <c r="E156" s="8">
        <v>1.5079763744756016</v>
      </c>
      <c r="F156">
        <f t="shared" si="7"/>
        <v>1.5079763744756016</v>
      </c>
      <c r="G156">
        <f t="shared" si="6"/>
        <v>0.50797637447560162</v>
      </c>
    </row>
    <row r="157" spans="1:7" x14ac:dyDescent="0.3">
      <c r="A157" s="4" t="s">
        <v>154</v>
      </c>
      <c r="B157" s="5">
        <v>60465</v>
      </c>
      <c r="C157" s="8">
        <f t="shared" si="8"/>
        <v>0.10666764280615704</v>
      </c>
      <c r="D157" s="8"/>
      <c r="E157" s="8">
        <v>1.6588932481000851</v>
      </c>
      <c r="F157">
        <f t="shared" si="7"/>
        <v>1.6588932481000851</v>
      </c>
      <c r="G157">
        <f t="shared" si="6"/>
        <v>0.65889324810008509</v>
      </c>
    </row>
    <row r="158" spans="1:7" x14ac:dyDescent="0.3">
      <c r="A158" s="4" t="s">
        <v>155</v>
      </c>
      <c r="B158" s="5">
        <v>65317</v>
      </c>
      <c r="C158" s="8">
        <f t="shared" si="8"/>
        <v>8.024476970148009E-2</v>
      </c>
      <c r="D158" s="8"/>
      <c r="E158" s="8">
        <v>1.6636187662370741</v>
      </c>
      <c r="F158">
        <f t="shared" si="7"/>
        <v>1.6636187662370741</v>
      </c>
      <c r="G158">
        <f t="shared" si="6"/>
        <v>0.66361876623707405</v>
      </c>
    </row>
    <row r="159" spans="1:7" x14ac:dyDescent="0.3">
      <c r="A159" s="4" t="s">
        <v>156</v>
      </c>
      <c r="B159" s="5">
        <v>63006</v>
      </c>
      <c r="C159" s="8">
        <f t="shared" si="8"/>
        <v>-3.538129430316761E-2</v>
      </c>
      <c r="D159" s="8"/>
      <c r="E159" s="8">
        <v>1.5026114330686127</v>
      </c>
      <c r="F159">
        <f t="shared" si="7"/>
        <v>1.5026114330686127</v>
      </c>
      <c r="G159">
        <f t="shared" si="6"/>
        <v>0.50261143306861267</v>
      </c>
    </row>
    <row r="160" spans="1:7" x14ac:dyDescent="0.3">
      <c r="A160" s="4" t="s">
        <v>157</v>
      </c>
      <c r="B160" s="5">
        <v>63886</v>
      </c>
      <c r="C160" s="8">
        <f t="shared" si="8"/>
        <v>1.3966923785036389E-2</v>
      </c>
      <c r="D160" s="8"/>
      <c r="E160" s="8">
        <v>1.4365120410136487</v>
      </c>
      <c r="F160">
        <f t="shared" si="7"/>
        <v>1.4365120410136487</v>
      </c>
      <c r="G160">
        <f t="shared" si="6"/>
        <v>0.43651204101364871</v>
      </c>
    </row>
    <row r="161" spans="1:7" x14ac:dyDescent="0.3">
      <c r="A161" s="4" t="s">
        <v>158</v>
      </c>
      <c r="B161" s="5">
        <v>59490</v>
      </c>
      <c r="C161" s="8">
        <f t="shared" si="8"/>
        <v>-6.8810067933506525E-2</v>
      </c>
      <c r="D161" s="8"/>
      <c r="E161" s="8">
        <v>1.3326314374677986</v>
      </c>
      <c r="F161">
        <f t="shared" si="7"/>
        <v>1.3326314374677986</v>
      </c>
      <c r="G161">
        <f t="shared" si="6"/>
        <v>0.33263143746779855</v>
      </c>
    </row>
    <row r="162" spans="1:7" x14ac:dyDescent="0.3">
      <c r="A162" s="4" t="s">
        <v>159</v>
      </c>
      <c r="B162" s="5">
        <v>63489</v>
      </c>
      <c r="C162" s="8">
        <f t="shared" si="8"/>
        <v>6.7221381744831055E-2</v>
      </c>
      <c r="D162" s="8"/>
      <c r="E162" s="8">
        <v>1.4464822746742003</v>
      </c>
      <c r="F162">
        <f t="shared" si="7"/>
        <v>1.4464822746742003</v>
      </c>
      <c r="G162">
        <f t="shared" si="6"/>
        <v>0.44648227467420032</v>
      </c>
    </row>
    <row r="163" spans="1:7" x14ac:dyDescent="0.3">
      <c r="A163" s="4" t="s">
        <v>160</v>
      </c>
      <c r="B163" s="5">
        <v>60968</v>
      </c>
      <c r="C163" s="8">
        <f t="shared" si="8"/>
        <v>-3.9707665894879396E-2</v>
      </c>
      <c r="D163" s="8"/>
      <c r="E163" s="8">
        <v>1.3310627892760458</v>
      </c>
      <c r="F163">
        <f t="shared" si="7"/>
        <v>1.3310627892760458</v>
      </c>
      <c r="G163">
        <f t="shared" si="6"/>
        <v>0.33106278927604582</v>
      </c>
    </row>
    <row r="164" spans="1:7" x14ac:dyDescent="0.3">
      <c r="A164" s="4" t="s">
        <v>161</v>
      </c>
      <c r="B164" s="5">
        <v>67868</v>
      </c>
      <c r="C164" s="8">
        <f t="shared" si="8"/>
        <v>0.11317412413069161</v>
      </c>
      <c r="D164" s="8"/>
      <c r="E164" s="8">
        <v>1.3863060707574149</v>
      </c>
      <c r="F164">
        <f t="shared" si="7"/>
        <v>1.3863060707574149</v>
      </c>
      <c r="G164">
        <f t="shared" si="6"/>
        <v>0.38630607075741485</v>
      </c>
    </row>
    <row r="165" spans="1:7" x14ac:dyDescent="0.3">
      <c r="A165" s="4" t="s">
        <v>162</v>
      </c>
      <c r="B165" s="5">
        <v>72592</v>
      </c>
      <c r="C165" s="8">
        <f t="shared" si="8"/>
        <v>6.9605705192432366E-2</v>
      </c>
      <c r="D165" s="8"/>
      <c r="E165" s="8">
        <v>1.3888421213744548</v>
      </c>
      <c r="F165">
        <f t="shared" si="7"/>
        <v>1.3888421213744548</v>
      </c>
      <c r="G165">
        <f t="shared" si="6"/>
        <v>0.38884212137445484</v>
      </c>
    </row>
    <row r="166" spans="1:7" x14ac:dyDescent="0.3">
      <c r="A166" s="4" t="s">
        <v>163</v>
      </c>
      <c r="B166" s="5">
        <v>65017</v>
      </c>
      <c r="C166" s="8">
        <f t="shared" si="8"/>
        <v>-0.10435034163544188</v>
      </c>
      <c r="D166" s="8"/>
      <c r="E166" s="8">
        <v>1.1953412266509782</v>
      </c>
      <c r="F166">
        <f t="shared" si="7"/>
        <v>1.1953412266509782</v>
      </c>
      <c r="G166">
        <f t="shared" si="6"/>
        <v>0.19534122665097819</v>
      </c>
    </row>
    <row r="167" spans="1:7" x14ac:dyDescent="0.3">
      <c r="A167" s="4" t="s">
        <v>164</v>
      </c>
      <c r="B167" s="5">
        <v>59505</v>
      </c>
      <c r="C167" s="8">
        <f t="shared" si="8"/>
        <v>-8.4777827337465639E-2</v>
      </c>
      <c r="D167" s="8"/>
      <c r="E167" s="8">
        <v>1.0982429589162452</v>
      </c>
      <c r="F167">
        <f t="shared" si="7"/>
        <v>1.0982429589162452</v>
      </c>
      <c r="G167">
        <f t="shared" si="6"/>
        <v>9.8242958916245238E-2</v>
      </c>
    </row>
    <row r="168" spans="1:7" x14ac:dyDescent="0.3">
      <c r="A168" s="4" t="s">
        <v>165</v>
      </c>
      <c r="B168" s="5">
        <v>55680</v>
      </c>
      <c r="C168" s="8">
        <f t="shared" si="8"/>
        <v>-6.4280312578774867E-2</v>
      </c>
      <c r="D168" s="8"/>
      <c r="E168" s="8">
        <v>1.0190896279078281</v>
      </c>
      <c r="F168">
        <f t="shared" si="7"/>
        <v>1.0190896279078281</v>
      </c>
      <c r="G168">
        <f t="shared" si="6"/>
        <v>1.9089627907828088E-2</v>
      </c>
    </row>
    <row r="169" spans="1:7" x14ac:dyDescent="0.3">
      <c r="A169" s="4" t="s">
        <v>166</v>
      </c>
      <c r="B169" s="5">
        <v>49541</v>
      </c>
      <c r="C169" s="8">
        <f t="shared" si="8"/>
        <v>-0.1102550287356322</v>
      </c>
      <c r="D169" s="8"/>
      <c r="E169" s="8">
        <v>0.81933349871826677</v>
      </c>
      <c r="F169">
        <f t="shared" si="7"/>
        <v>0.81933349871826677</v>
      </c>
      <c r="G169">
        <f t="shared" si="6"/>
        <v>-0.18066650128173323</v>
      </c>
    </row>
    <row r="170" spans="1:7" x14ac:dyDescent="0.3">
      <c r="A170" s="4" t="s">
        <v>167</v>
      </c>
      <c r="B170" s="5">
        <v>37256</v>
      </c>
      <c r="C170" s="8">
        <f t="shared" si="8"/>
        <v>-0.24797642356835747</v>
      </c>
      <c r="D170" s="8"/>
      <c r="E170" s="8">
        <v>0.57038749483289186</v>
      </c>
      <c r="F170">
        <f t="shared" si="7"/>
        <v>0.57038749483289186</v>
      </c>
      <c r="G170">
        <f t="shared" si="6"/>
        <v>-0.42961250516710814</v>
      </c>
    </row>
    <row r="171" spans="1:7" x14ac:dyDescent="0.3">
      <c r="A171" s="4" t="s">
        <v>168</v>
      </c>
      <c r="B171" s="5">
        <v>36595</v>
      </c>
      <c r="C171" s="8">
        <f t="shared" si="8"/>
        <v>-1.7742108653639677E-2</v>
      </c>
      <c r="D171" s="8"/>
      <c r="E171" s="8">
        <v>0.58081769990159671</v>
      </c>
      <c r="F171">
        <f t="shared" si="7"/>
        <v>0.58081769990159671</v>
      </c>
      <c r="G171">
        <f t="shared" si="6"/>
        <v>-0.41918230009840329</v>
      </c>
    </row>
    <row r="172" spans="1:7" x14ac:dyDescent="0.3">
      <c r="A172" s="4" t="s">
        <v>169</v>
      </c>
      <c r="B172" s="5">
        <v>37550</v>
      </c>
      <c r="C172" s="8">
        <f t="shared" si="8"/>
        <v>2.6096461265200155E-2</v>
      </c>
      <c r="D172" s="8"/>
      <c r="E172" s="8">
        <v>0.58776570766678149</v>
      </c>
      <c r="F172">
        <f t="shared" si="7"/>
        <v>0.58776570766678149</v>
      </c>
      <c r="G172">
        <f t="shared" si="6"/>
        <v>-0.41223429233321851</v>
      </c>
    </row>
    <row r="173" spans="1:7" x14ac:dyDescent="0.3">
      <c r="A173" s="4" t="s">
        <v>170</v>
      </c>
      <c r="B173" s="5">
        <v>39300</v>
      </c>
      <c r="C173" s="8">
        <f t="shared" si="8"/>
        <v>4.6604527296937315E-2</v>
      </c>
      <c r="D173" s="8"/>
      <c r="E173" s="8">
        <v>0.6606152294503278</v>
      </c>
      <c r="F173">
        <f t="shared" si="7"/>
        <v>0.6606152294503278</v>
      </c>
      <c r="G173">
        <f t="shared" si="6"/>
        <v>-0.3393847705496722</v>
      </c>
    </row>
    <row r="174" spans="1:7" x14ac:dyDescent="0.3">
      <c r="A174" s="4" t="s">
        <v>171</v>
      </c>
      <c r="B174" s="5">
        <v>38183</v>
      </c>
      <c r="C174" s="8">
        <f t="shared" si="8"/>
        <v>-2.8422391857506391E-2</v>
      </c>
      <c r="D174" s="8"/>
      <c r="E174" s="8">
        <v>0.6014112680936855</v>
      </c>
      <c r="F174">
        <f t="shared" si="7"/>
        <v>0.6014112680936855</v>
      </c>
      <c r="G174">
        <f t="shared" si="6"/>
        <v>-0.3985887319063145</v>
      </c>
    </row>
    <row r="175" spans="1:7" x14ac:dyDescent="0.3">
      <c r="A175" s="4" t="s">
        <v>172</v>
      </c>
      <c r="B175" s="5">
        <v>40925</v>
      </c>
      <c r="C175" s="8">
        <f t="shared" si="8"/>
        <v>7.1812062959955902E-2</v>
      </c>
      <c r="D175" s="8"/>
      <c r="E175" s="8">
        <v>0.67125377247080431</v>
      </c>
      <c r="F175">
        <f t="shared" si="7"/>
        <v>0.67125377247080431</v>
      </c>
      <c r="G175">
        <f t="shared" si="6"/>
        <v>-0.32874622752919569</v>
      </c>
    </row>
    <row r="176" spans="1:7" x14ac:dyDescent="0.3">
      <c r="A176" s="4" t="s">
        <v>173</v>
      </c>
      <c r="B176" s="5">
        <v>47289</v>
      </c>
      <c r="C176" s="8">
        <f t="shared" si="8"/>
        <v>0.15550397067806965</v>
      </c>
      <c r="D176" s="8"/>
      <c r="E176" s="8">
        <v>0.69677904166912241</v>
      </c>
      <c r="F176">
        <f t="shared" si="7"/>
        <v>0.69677904166912241</v>
      </c>
      <c r="G176">
        <f t="shared" si="6"/>
        <v>-0.30322095833087759</v>
      </c>
    </row>
    <row r="177" spans="1:7" x14ac:dyDescent="0.3">
      <c r="A177" s="4" t="s">
        <v>174</v>
      </c>
      <c r="B177" s="5">
        <v>53197</v>
      </c>
      <c r="C177" s="8">
        <f t="shared" si="8"/>
        <v>0.12493391697857859</v>
      </c>
      <c r="D177" s="8"/>
      <c r="E177" s="8">
        <v>0.73282179854529428</v>
      </c>
      <c r="F177">
        <f t="shared" si="7"/>
        <v>0.73282179854529428</v>
      </c>
      <c r="G177">
        <f t="shared" si="6"/>
        <v>-0.26717820145470572</v>
      </c>
    </row>
    <row r="178" spans="1:7" x14ac:dyDescent="0.3">
      <c r="A178" s="4" t="s">
        <v>175</v>
      </c>
      <c r="B178" s="5">
        <v>51465</v>
      </c>
      <c r="C178" s="8">
        <f t="shared" si="8"/>
        <v>-3.2558226967686177E-2</v>
      </c>
      <c r="D178" s="8"/>
      <c r="E178" s="8">
        <v>0.79156220680745037</v>
      </c>
      <c r="F178">
        <f t="shared" si="7"/>
        <v>0.79156220680745037</v>
      </c>
      <c r="G178">
        <f t="shared" si="6"/>
        <v>-0.20843779319254963</v>
      </c>
    </row>
    <row r="179" spans="1:7" x14ac:dyDescent="0.3">
      <c r="A179" s="4" t="s">
        <v>176</v>
      </c>
      <c r="B179" s="5">
        <v>54765</v>
      </c>
      <c r="C179" s="8">
        <f t="shared" si="8"/>
        <v>6.4121247449723029E-2</v>
      </c>
      <c r="D179" s="8"/>
      <c r="E179" s="8">
        <v>0.92034282833375347</v>
      </c>
      <c r="F179">
        <f t="shared" si="7"/>
        <v>0.92034282833375347</v>
      </c>
      <c r="G179">
        <f t="shared" si="6"/>
        <v>-7.9657171666246529E-2</v>
      </c>
    </row>
    <row r="180" spans="1:7" x14ac:dyDescent="0.3">
      <c r="A180" s="4" t="s">
        <v>177</v>
      </c>
      <c r="B180" s="5">
        <v>56488</v>
      </c>
      <c r="C180" s="8">
        <f t="shared" si="8"/>
        <v>3.1461699990870118E-2</v>
      </c>
      <c r="D180" s="8"/>
      <c r="E180" s="8">
        <v>1.0145114942528735</v>
      </c>
      <c r="F180">
        <f t="shared" si="7"/>
        <v>1.0145114942528735</v>
      </c>
      <c r="G180">
        <f t="shared" si="6"/>
        <v>1.4511494252873458E-2</v>
      </c>
    </row>
    <row r="181" spans="1:7" x14ac:dyDescent="0.3">
      <c r="A181" s="4" t="s">
        <v>178</v>
      </c>
      <c r="B181" s="5">
        <v>61517</v>
      </c>
      <c r="C181" s="8">
        <f t="shared" si="8"/>
        <v>8.9027758107916632E-2</v>
      </c>
      <c r="D181" s="8"/>
      <c r="E181" s="8">
        <v>1.2417391655396541</v>
      </c>
      <c r="F181">
        <f t="shared" si="7"/>
        <v>1.2417391655396541</v>
      </c>
      <c r="G181">
        <f t="shared" si="6"/>
        <v>0.24173916553965413</v>
      </c>
    </row>
    <row r="182" spans="1:7" x14ac:dyDescent="0.3">
      <c r="A182" s="4" t="s">
        <v>179</v>
      </c>
      <c r="B182" s="5">
        <v>61545</v>
      </c>
      <c r="C182" s="8">
        <f t="shared" si="8"/>
        <v>4.5515873660928463E-4</v>
      </c>
      <c r="D182" s="8"/>
      <c r="E182" s="8">
        <v>1.6519486794073437</v>
      </c>
      <c r="F182">
        <f t="shared" si="7"/>
        <v>1.6519486794073437</v>
      </c>
      <c r="G182">
        <f t="shared" si="6"/>
        <v>0.65194867940734369</v>
      </c>
    </row>
    <row r="183" spans="1:7" x14ac:dyDescent="0.3">
      <c r="A183" s="4" t="s">
        <v>180</v>
      </c>
      <c r="B183" s="5">
        <v>67044</v>
      </c>
      <c r="C183" s="8">
        <f t="shared" si="8"/>
        <v>8.9349256641481745E-2</v>
      </c>
      <c r="D183" s="8"/>
      <c r="E183" s="8">
        <v>1.8320535592294029</v>
      </c>
      <c r="F183">
        <f t="shared" si="7"/>
        <v>1.8320535592294029</v>
      </c>
      <c r="G183">
        <f t="shared" si="6"/>
        <v>0.83205355922940294</v>
      </c>
    </row>
    <row r="184" spans="1:7" x14ac:dyDescent="0.3">
      <c r="A184" s="4" t="s">
        <v>181</v>
      </c>
      <c r="B184" s="5">
        <v>68588</v>
      </c>
      <c r="C184" s="8">
        <f t="shared" si="8"/>
        <v>2.302965216872499E-2</v>
      </c>
      <c r="D184" s="8"/>
      <c r="E184" s="8">
        <v>1.826577896138482</v>
      </c>
      <c r="F184">
        <f t="shared" si="7"/>
        <v>1.826577896138482</v>
      </c>
      <c r="G184">
        <f t="shared" si="6"/>
        <v>0.82657789613848198</v>
      </c>
    </row>
    <row r="185" spans="1:7" x14ac:dyDescent="0.3">
      <c r="A185" s="4" t="s">
        <v>182</v>
      </c>
      <c r="B185" s="5">
        <v>65401</v>
      </c>
      <c r="C185" s="8">
        <f t="shared" si="8"/>
        <v>-4.6465854085262714E-2</v>
      </c>
      <c r="D185" s="8"/>
      <c r="E185" s="8">
        <v>1.664147582697201</v>
      </c>
      <c r="F185">
        <f t="shared" si="7"/>
        <v>1.664147582697201</v>
      </c>
      <c r="G185">
        <f t="shared" si="6"/>
        <v>0.66414758269720098</v>
      </c>
    </row>
    <row r="186" spans="1:7" x14ac:dyDescent="0.3">
      <c r="A186" s="4" t="s">
        <v>183</v>
      </c>
      <c r="B186" s="5">
        <v>66503</v>
      </c>
      <c r="C186" s="8">
        <f t="shared" si="8"/>
        <v>1.6849895261540349E-2</v>
      </c>
      <c r="D186" s="8"/>
      <c r="E186" s="8">
        <v>1.7416913286017337</v>
      </c>
      <c r="F186">
        <f t="shared" si="7"/>
        <v>1.7416913286017337</v>
      </c>
      <c r="G186">
        <f t="shared" si="6"/>
        <v>0.7416913286017337</v>
      </c>
    </row>
    <row r="187" spans="1:7" x14ac:dyDescent="0.3">
      <c r="A187" s="4" t="s">
        <v>184</v>
      </c>
      <c r="B187" s="5">
        <v>70371</v>
      </c>
      <c r="C187" s="8">
        <f t="shared" si="8"/>
        <v>5.8162789648587232E-2</v>
      </c>
      <c r="D187" s="8"/>
      <c r="E187" s="8">
        <v>1.7195113011606598</v>
      </c>
      <c r="F187">
        <f t="shared" si="7"/>
        <v>1.7195113011606598</v>
      </c>
      <c r="G187">
        <f t="shared" si="6"/>
        <v>0.71951130116065976</v>
      </c>
    </row>
    <row r="188" spans="1:7" x14ac:dyDescent="0.3">
      <c r="A188" s="4" t="s">
        <v>185</v>
      </c>
      <c r="B188" s="5">
        <v>67529</v>
      </c>
      <c r="C188" s="8">
        <f t="shared" si="8"/>
        <v>-4.0385954441460314E-2</v>
      </c>
      <c r="D188" s="8"/>
      <c r="E188" s="8">
        <v>1.4280065131425912</v>
      </c>
      <c r="F188">
        <f t="shared" si="7"/>
        <v>1.4280065131425912</v>
      </c>
      <c r="G188">
        <f t="shared" si="6"/>
        <v>0.42800651314259119</v>
      </c>
    </row>
    <row r="189" spans="1:7" x14ac:dyDescent="0.3">
      <c r="A189" s="4" t="s">
        <v>186</v>
      </c>
      <c r="B189" s="5">
        <v>63046</v>
      </c>
      <c r="C189" s="8">
        <f t="shared" si="8"/>
        <v>-6.6386293296213483E-2</v>
      </c>
      <c r="D189" s="8"/>
      <c r="E189" s="8">
        <v>1.1851420192868019</v>
      </c>
      <c r="F189">
        <f t="shared" si="7"/>
        <v>1.1851420192868019</v>
      </c>
      <c r="G189">
        <f t="shared" si="6"/>
        <v>0.18514201928680185</v>
      </c>
    </row>
    <row r="190" spans="1:7" x14ac:dyDescent="0.3">
      <c r="A190" s="4" t="s">
        <v>187</v>
      </c>
      <c r="B190" s="5">
        <v>60935</v>
      </c>
      <c r="C190" s="8">
        <f t="shared" si="8"/>
        <v>-3.3483488246677018E-2</v>
      </c>
      <c r="D190" s="8"/>
      <c r="E190" s="8">
        <v>1.1840085494996599</v>
      </c>
      <c r="F190">
        <f t="shared" si="7"/>
        <v>1.1840085494996599</v>
      </c>
      <c r="G190">
        <f t="shared" si="6"/>
        <v>0.18400854949965995</v>
      </c>
    </row>
    <row r="191" spans="1:7" x14ac:dyDescent="0.3">
      <c r="A191" s="4" t="s">
        <v>188</v>
      </c>
      <c r="B191" s="5">
        <v>67515</v>
      </c>
      <c r="C191" s="8">
        <f t="shared" si="8"/>
        <v>0.10798391728891432</v>
      </c>
      <c r="D191" s="8"/>
      <c r="E191" s="8">
        <v>1.2328129279649411</v>
      </c>
      <c r="F191">
        <f t="shared" si="7"/>
        <v>1.2328129279649411</v>
      </c>
      <c r="G191">
        <f t="shared" si="6"/>
        <v>0.23281292796494113</v>
      </c>
    </row>
    <row r="192" spans="1:7" x14ac:dyDescent="0.3">
      <c r="A192" s="4" t="s">
        <v>189</v>
      </c>
      <c r="B192" s="5">
        <v>65145</v>
      </c>
      <c r="C192" s="8">
        <f t="shared" si="8"/>
        <v>-3.5103310375472097E-2</v>
      </c>
      <c r="D192" s="8"/>
      <c r="E192" s="8">
        <v>1.1532537884152387</v>
      </c>
      <c r="F192">
        <f t="shared" si="7"/>
        <v>1.1532537884152387</v>
      </c>
      <c r="G192">
        <f t="shared" si="6"/>
        <v>0.15325378841523873</v>
      </c>
    </row>
    <row r="193" spans="1:7" x14ac:dyDescent="0.3">
      <c r="A193" s="4" t="s">
        <v>190</v>
      </c>
      <c r="B193" s="5">
        <v>69429</v>
      </c>
      <c r="C193" s="8">
        <f t="shared" si="8"/>
        <v>6.5760994704121556E-2</v>
      </c>
      <c r="D193" s="8"/>
      <c r="E193" s="8">
        <v>1.1286148544304826</v>
      </c>
      <c r="F193">
        <f t="shared" si="7"/>
        <v>1.1286148544304826</v>
      </c>
      <c r="G193">
        <f t="shared" si="6"/>
        <v>0.12861485443048259</v>
      </c>
    </row>
    <row r="194" spans="1:7" x14ac:dyDescent="0.3">
      <c r="A194" s="4" t="s">
        <v>191</v>
      </c>
      <c r="B194" s="5">
        <v>70673</v>
      </c>
      <c r="C194" s="8">
        <f t="shared" si="8"/>
        <v>1.7917584870875247E-2</v>
      </c>
      <c r="D194" s="8"/>
      <c r="E194" s="8">
        <v>1.1483142416118288</v>
      </c>
      <c r="F194">
        <f t="shared" si="7"/>
        <v>1.1483142416118288</v>
      </c>
      <c r="G194">
        <f t="shared" si="6"/>
        <v>0.14831424161182882</v>
      </c>
    </row>
    <row r="195" spans="1:7" x14ac:dyDescent="0.3">
      <c r="A195" s="4" t="s">
        <v>192</v>
      </c>
      <c r="B195" s="5">
        <v>67705</v>
      </c>
      <c r="C195" s="8">
        <f t="shared" si="8"/>
        <v>-4.1996236186379488E-2</v>
      </c>
      <c r="D195" s="8"/>
      <c r="E195" s="8">
        <v>1.0098591969452897</v>
      </c>
      <c r="F195">
        <f t="shared" si="7"/>
        <v>1.0098591969452897</v>
      </c>
      <c r="G195">
        <f t="shared" si="6"/>
        <v>9.8591969452896944E-3</v>
      </c>
    </row>
    <row r="196" spans="1:7" x14ac:dyDescent="0.3">
      <c r="A196" s="4" t="s">
        <v>193</v>
      </c>
      <c r="B196" s="5">
        <v>69304</v>
      </c>
      <c r="C196" s="8">
        <f t="shared" si="8"/>
        <v>2.361716269108638E-2</v>
      </c>
      <c r="D196" s="8"/>
      <c r="E196" s="8">
        <v>1.0104391438735638</v>
      </c>
      <c r="F196">
        <f t="shared" si="7"/>
        <v>1.0104391438735638</v>
      </c>
      <c r="G196">
        <f t="shared" si="6"/>
        <v>1.0439143873563816E-2</v>
      </c>
    </row>
    <row r="197" spans="1:7" x14ac:dyDescent="0.3">
      <c r="A197" s="4" t="s">
        <v>194</v>
      </c>
      <c r="B197" s="5">
        <v>66574</v>
      </c>
      <c r="C197" s="8">
        <f t="shared" si="8"/>
        <v>-3.939166570472119E-2</v>
      </c>
      <c r="D197" s="8"/>
      <c r="E197" s="8">
        <v>1.0179355055733093</v>
      </c>
      <c r="F197">
        <f t="shared" si="7"/>
        <v>1.0179355055733093</v>
      </c>
      <c r="G197">
        <f t="shared" si="6"/>
        <v>1.7935505573309252E-2</v>
      </c>
    </row>
    <row r="198" spans="1:7" x14ac:dyDescent="0.3">
      <c r="A198" s="4" t="s">
        <v>195</v>
      </c>
      <c r="B198" s="5">
        <v>67383</v>
      </c>
      <c r="C198" s="8">
        <f t="shared" si="8"/>
        <v>1.2151891128668879E-2</v>
      </c>
      <c r="D198" s="8"/>
      <c r="E198" s="8">
        <v>1.0132324857525223</v>
      </c>
      <c r="F198">
        <f t="shared" si="7"/>
        <v>1.0132324857525223</v>
      </c>
      <c r="G198">
        <f t="shared" si="6"/>
        <v>1.3232485752522338E-2</v>
      </c>
    </row>
    <row r="199" spans="1:7" x14ac:dyDescent="0.3">
      <c r="A199" s="4" t="s">
        <v>196</v>
      </c>
      <c r="B199" s="5">
        <v>68586</v>
      </c>
      <c r="C199" s="8">
        <f t="shared" si="8"/>
        <v>1.7853167712924556E-2</v>
      </c>
      <c r="D199" s="8"/>
      <c r="E199" s="8">
        <v>0.97463443748134881</v>
      </c>
      <c r="F199">
        <f t="shared" si="7"/>
        <v>0.97463443748134881</v>
      </c>
      <c r="G199">
        <f t="shared" si="6"/>
        <v>-2.5365562518651186E-2</v>
      </c>
    </row>
    <row r="200" spans="1:7" x14ac:dyDescent="0.3">
      <c r="A200" s="4" t="s">
        <v>197</v>
      </c>
      <c r="B200" s="5">
        <v>66132</v>
      </c>
      <c r="C200" s="8">
        <f t="shared" si="8"/>
        <v>-3.5779896771935937E-2</v>
      </c>
      <c r="D200" s="8"/>
      <c r="E200" s="8">
        <v>0.97931259162730089</v>
      </c>
      <c r="F200">
        <f t="shared" si="7"/>
        <v>0.97931259162730089</v>
      </c>
      <c r="G200">
        <f t="shared" ref="G200:G263" si="9">F200-1</f>
        <v>-2.0687408372699112E-2</v>
      </c>
    </row>
    <row r="201" spans="1:7" x14ac:dyDescent="0.3">
      <c r="A201" s="4" t="s">
        <v>198</v>
      </c>
      <c r="B201" s="5">
        <v>64620</v>
      </c>
      <c r="C201" s="8">
        <f t="shared" si="8"/>
        <v>-2.2863364180729429E-2</v>
      </c>
      <c r="D201" s="8"/>
      <c r="E201" s="8">
        <v>1.0249658979158076</v>
      </c>
      <c r="F201">
        <f t="shared" si="7"/>
        <v>1.0249658979158076</v>
      </c>
      <c r="G201">
        <f t="shared" si="9"/>
        <v>2.4965897915807611E-2</v>
      </c>
    </row>
    <row r="202" spans="1:7" x14ac:dyDescent="0.3">
      <c r="A202" s="4" t="s">
        <v>199</v>
      </c>
      <c r="B202" s="5">
        <v>62403</v>
      </c>
      <c r="C202" s="8">
        <f t="shared" si="8"/>
        <v>-3.4308263695450369E-2</v>
      </c>
      <c r="D202" s="8"/>
      <c r="E202" s="8">
        <v>1.0240912447690163</v>
      </c>
      <c r="F202">
        <f t="shared" si="7"/>
        <v>1.0240912447690163</v>
      </c>
      <c r="G202">
        <f t="shared" si="9"/>
        <v>2.4091244769016251E-2</v>
      </c>
    </row>
    <row r="203" spans="1:7" x14ac:dyDescent="0.3">
      <c r="A203" s="4" t="s">
        <v>200</v>
      </c>
      <c r="B203" s="5">
        <v>58823</v>
      </c>
      <c r="C203" s="8">
        <f t="shared" si="8"/>
        <v>-5.7369036745028246E-2</v>
      </c>
      <c r="D203" s="8"/>
      <c r="E203" s="8">
        <v>0.87125823890987186</v>
      </c>
      <c r="F203">
        <f t="shared" si="7"/>
        <v>0.87125823890987186</v>
      </c>
      <c r="G203">
        <f t="shared" si="9"/>
        <v>-0.12874176109012814</v>
      </c>
    </row>
    <row r="204" spans="1:7" x14ac:dyDescent="0.3">
      <c r="A204" s="4" t="s">
        <v>201</v>
      </c>
      <c r="B204" s="5">
        <v>56495</v>
      </c>
      <c r="C204" s="8">
        <f t="shared" si="8"/>
        <v>-3.9576356187205675E-2</v>
      </c>
      <c r="D204" s="8"/>
      <c r="E204" s="8">
        <v>0.86721928006754168</v>
      </c>
      <c r="F204">
        <f t="shared" si="7"/>
        <v>0.86721928006754168</v>
      </c>
      <c r="G204">
        <f t="shared" si="9"/>
        <v>-0.13278071993245832</v>
      </c>
    </row>
    <row r="205" spans="1:7" x14ac:dyDescent="0.3">
      <c r="A205" s="4" t="s">
        <v>202</v>
      </c>
      <c r="B205" s="5">
        <v>52324</v>
      </c>
      <c r="C205" s="8">
        <f t="shared" si="8"/>
        <v>-7.3829542437383822E-2</v>
      </c>
      <c r="D205" s="8"/>
      <c r="E205" s="8">
        <v>0.75363320802546485</v>
      </c>
      <c r="F205">
        <f t="shared" ref="F205:F268" si="10">B205/B193</f>
        <v>0.75363320802546485</v>
      </c>
      <c r="G205">
        <f t="shared" si="9"/>
        <v>-0.24636679197453515</v>
      </c>
    </row>
    <row r="206" spans="1:7" x14ac:dyDescent="0.3">
      <c r="A206" s="4" t="s">
        <v>203</v>
      </c>
      <c r="B206" s="5">
        <v>58338</v>
      </c>
      <c r="C206" s="8">
        <f t="shared" si="8"/>
        <v>0.11493769589480918</v>
      </c>
      <c r="D206" s="8"/>
      <c r="E206" s="8">
        <v>0.82546375560680885</v>
      </c>
      <c r="F206">
        <f t="shared" si="10"/>
        <v>0.82546375560680885</v>
      </c>
      <c r="G206">
        <f t="shared" si="9"/>
        <v>-0.17453624439319115</v>
      </c>
    </row>
    <row r="207" spans="1:7" x14ac:dyDescent="0.3">
      <c r="A207" s="4" t="s">
        <v>204</v>
      </c>
      <c r="B207" s="5">
        <v>56874</v>
      </c>
      <c r="C207" s="8">
        <f t="shared" si="8"/>
        <v>-2.5095135246323119E-2</v>
      </c>
      <c r="D207" s="8"/>
      <c r="E207" s="8">
        <v>0.84002658592423007</v>
      </c>
      <c r="F207">
        <f t="shared" si="10"/>
        <v>0.84002658592423007</v>
      </c>
      <c r="G207">
        <f t="shared" si="9"/>
        <v>-0.15997341407576993</v>
      </c>
    </row>
    <row r="208" spans="1:7" x14ac:dyDescent="0.3">
      <c r="A208" s="4" t="s">
        <v>205</v>
      </c>
      <c r="B208" s="5">
        <v>56754</v>
      </c>
      <c r="C208" s="8">
        <f t="shared" si="8"/>
        <v>-2.1099272075113529E-3</v>
      </c>
      <c r="D208" s="8"/>
      <c r="E208" s="8">
        <v>0.81891377121089692</v>
      </c>
      <c r="F208">
        <f t="shared" si="10"/>
        <v>0.81891377121089692</v>
      </c>
      <c r="G208">
        <f t="shared" si="9"/>
        <v>-0.18108622878910308</v>
      </c>
    </row>
    <row r="209" spans="1:7" x14ac:dyDescent="0.3">
      <c r="A209" s="4" t="s">
        <v>206</v>
      </c>
      <c r="B209" s="5">
        <v>63072</v>
      </c>
      <c r="C209" s="8">
        <f t="shared" si="8"/>
        <v>0.11132254995242619</v>
      </c>
      <c r="D209" s="8"/>
      <c r="E209" s="8">
        <v>0.94739688166551506</v>
      </c>
      <c r="F209">
        <f t="shared" si="10"/>
        <v>0.94739688166551506</v>
      </c>
      <c r="G209">
        <f t="shared" si="9"/>
        <v>-5.2603118334484944E-2</v>
      </c>
    </row>
    <row r="210" spans="1:7" x14ac:dyDescent="0.3">
      <c r="A210" s="4" t="s">
        <v>207</v>
      </c>
      <c r="B210" s="5">
        <v>65811</v>
      </c>
      <c r="C210" s="8">
        <f t="shared" si="8"/>
        <v>4.3426560121765601E-2</v>
      </c>
      <c r="D210" s="8"/>
      <c r="E210" s="8">
        <v>0.97667067361203863</v>
      </c>
      <c r="F210">
        <f t="shared" si="10"/>
        <v>0.97667067361203863</v>
      </c>
      <c r="G210">
        <f t="shared" si="9"/>
        <v>-2.3329326387961369E-2</v>
      </c>
    </row>
    <row r="211" spans="1:7" x14ac:dyDescent="0.3">
      <c r="A211" s="4" t="s">
        <v>208</v>
      </c>
      <c r="B211" s="5">
        <v>64510</v>
      </c>
      <c r="C211" s="8">
        <f t="shared" si="8"/>
        <v>-1.9768731670997242E-2</v>
      </c>
      <c r="D211" s="8"/>
      <c r="E211" s="8">
        <v>0.94057096200390755</v>
      </c>
      <c r="F211">
        <f t="shared" si="10"/>
        <v>0.94057096200390755</v>
      </c>
      <c r="G211">
        <f t="shared" si="9"/>
        <v>-5.9429037996092449E-2</v>
      </c>
    </row>
    <row r="212" spans="1:7" x14ac:dyDescent="0.3">
      <c r="A212" s="4" t="s">
        <v>209</v>
      </c>
      <c r="B212" s="5">
        <v>61820</v>
      </c>
      <c r="C212" s="8">
        <f t="shared" si="8"/>
        <v>-4.1698961401333112E-2</v>
      </c>
      <c r="D212" s="8"/>
      <c r="E212" s="8">
        <v>0.93479707252162347</v>
      </c>
      <c r="F212">
        <f t="shared" si="10"/>
        <v>0.93479707252162347</v>
      </c>
      <c r="G212">
        <f t="shared" si="9"/>
        <v>-6.5202927478376527E-2</v>
      </c>
    </row>
    <row r="213" spans="1:7" x14ac:dyDescent="0.3">
      <c r="A213" s="4" t="s">
        <v>210</v>
      </c>
      <c r="B213" s="5">
        <v>54490</v>
      </c>
      <c r="C213" s="8">
        <f t="shared" ref="C213:C276" si="11">(B213/B212)-1</f>
        <v>-0.11857004205758659</v>
      </c>
      <c r="D213" s="8"/>
      <c r="E213" s="8">
        <v>0.84323738780563295</v>
      </c>
      <c r="F213">
        <f t="shared" si="10"/>
        <v>0.84323738780563295</v>
      </c>
      <c r="G213">
        <f t="shared" si="9"/>
        <v>-0.15676261219436705</v>
      </c>
    </row>
    <row r="214" spans="1:7" x14ac:dyDescent="0.3">
      <c r="A214" s="4" t="s">
        <v>211</v>
      </c>
      <c r="B214" s="5">
        <v>54354</v>
      </c>
      <c r="C214" s="8">
        <f t="shared" si="11"/>
        <v>-2.495870801981992E-3</v>
      </c>
      <c r="D214" s="8"/>
      <c r="E214" s="8">
        <v>0.87101581654728133</v>
      </c>
      <c r="F214">
        <f t="shared" si="10"/>
        <v>0.87101581654728133</v>
      </c>
      <c r="G214">
        <f t="shared" si="9"/>
        <v>-0.12898418345271867</v>
      </c>
    </row>
    <row r="215" spans="1:7" x14ac:dyDescent="0.3">
      <c r="A215" s="4" t="s">
        <v>212</v>
      </c>
      <c r="B215" s="5">
        <v>56097</v>
      </c>
      <c r="C215" s="8">
        <f t="shared" si="11"/>
        <v>3.206755712551046E-2</v>
      </c>
      <c r="D215" s="8"/>
      <c r="E215" s="8">
        <v>0.95365758291824632</v>
      </c>
      <c r="F215">
        <f t="shared" si="10"/>
        <v>0.95365758291824632</v>
      </c>
      <c r="G215">
        <f t="shared" si="9"/>
        <v>-4.6342417081753684E-2</v>
      </c>
    </row>
    <row r="216" spans="1:7" x14ac:dyDescent="0.3">
      <c r="A216" s="4" t="s">
        <v>213</v>
      </c>
      <c r="B216" s="5">
        <v>57061</v>
      </c>
      <c r="C216" s="8">
        <f t="shared" si="11"/>
        <v>1.7184519671283649E-2</v>
      </c>
      <c r="D216" s="8"/>
      <c r="E216" s="8">
        <v>1.0100185857155501</v>
      </c>
      <c r="F216">
        <f t="shared" si="10"/>
        <v>1.0100185857155501</v>
      </c>
      <c r="G216">
        <f t="shared" si="9"/>
        <v>1.0018585715550143E-2</v>
      </c>
    </row>
    <row r="217" spans="1:7" x14ac:dyDescent="0.3">
      <c r="A217" s="4" t="s">
        <v>214</v>
      </c>
      <c r="B217" s="5">
        <v>59175</v>
      </c>
      <c r="C217" s="8">
        <f t="shared" si="11"/>
        <v>3.704807136222632E-2</v>
      </c>
      <c r="D217" s="8"/>
      <c r="E217" s="8">
        <v>1.1309341793440868</v>
      </c>
      <c r="F217">
        <f t="shared" si="10"/>
        <v>1.1309341793440868</v>
      </c>
      <c r="G217">
        <f t="shared" si="9"/>
        <v>0.1309341793440868</v>
      </c>
    </row>
    <row r="218" spans="1:7" x14ac:dyDescent="0.3">
      <c r="A218" s="4" t="s">
        <v>215</v>
      </c>
      <c r="B218" s="5">
        <v>57068</v>
      </c>
      <c r="C218" s="8">
        <f t="shared" si="11"/>
        <v>-3.5606252640473124E-2</v>
      </c>
      <c r="D218" s="8"/>
      <c r="E218" s="8">
        <v>0.97823031300353114</v>
      </c>
      <c r="F218">
        <f t="shared" si="10"/>
        <v>0.97823031300353114</v>
      </c>
      <c r="G218">
        <f t="shared" si="9"/>
        <v>-2.1769686996468862E-2</v>
      </c>
    </row>
    <row r="219" spans="1:7" x14ac:dyDescent="0.3">
      <c r="A219" s="4" t="s">
        <v>216</v>
      </c>
      <c r="B219" s="5">
        <v>57474</v>
      </c>
      <c r="C219" s="8">
        <f t="shared" si="11"/>
        <v>7.1143197588841023E-3</v>
      </c>
      <c r="D219" s="8"/>
      <c r="E219" s="8">
        <v>1.0105496360375568</v>
      </c>
      <c r="F219">
        <f t="shared" si="10"/>
        <v>1.0105496360375568</v>
      </c>
      <c r="G219">
        <f t="shared" si="9"/>
        <v>1.0549636037556764E-2</v>
      </c>
    </row>
    <row r="220" spans="1:7" x14ac:dyDescent="0.3">
      <c r="A220" s="4" t="s">
        <v>217</v>
      </c>
      <c r="B220" s="5">
        <v>60952</v>
      </c>
      <c r="C220" s="8">
        <f t="shared" si="11"/>
        <v>6.0514319518391035E-2</v>
      </c>
      <c r="D220" s="8"/>
      <c r="E220" s="8">
        <v>1.0739683546534164</v>
      </c>
      <c r="F220">
        <f t="shared" si="10"/>
        <v>1.0739683546534164</v>
      </c>
      <c r="G220">
        <f t="shared" si="9"/>
        <v>7.3968354653416446E-2</v>
      </c>
    </row>
    <row r="221" spans="1:7" x14ac:dyDescent="0.3">
      <c r="A221" s="4" t="s">
        <v>218</v>
      </c>
      <c r="B221" s="5">
        <v>59761</v>
      </c>
      <c r="C221" s="8">
        <f t="shared" si="11"/>
        <v>-1.953996587478668E-2</v>
      </c>
      <c r="D221" s="8"/>
      <c r="E221" s="8">
        <v>0.94750443937087769</v>
      </c>
      <c r="F221">
        <f t="shared" si="10"/>
        <v>0.94750443937087769</v>
      </c>
      <c r="G221">
        <f t="shared" si="9"/>
        <v>-5.2495560629122306E-2</v>
      </c>
    </row>
    <row r="222" spans="1:7" x14ac:dyDescent="0.3">
      <c r="A222" s="4" t="s">
        <v>219</v>
      </c>
      <c r="B222" s="5">
        <v>57424</v>
      </c>
      <c r="C222" s="8">
        <f t="shared" si="11"/>
        <v>-3.9105771322434313E-2</v>
      </c>
      <c r="D222" s="8"/>
      <c r="E222" s="8">
        <v>0.87255929859749892</v>
      </c>
      <c r="F222">
        <f t="shared" si="10"/>
        <v>0.87255929859749892</v>
      </c>
      <c r="G222">
        <f t="shared" si="9"/>
        <v>-0.12744070140250108</v>
      </c>
    </row>
    <row r="223" spans="1:7" x14ac:dyDescent="0.3">
      <c r="A223" s="4" t="s">
        <v>220</v>
      </c>
      <c r="B223" s="5">
        <v>56352</v>
      </c>
      <c r="C223" s="8">
        <f t="shared" si="11"/>
        <v>-1.86681526887712E-2</v>
      </c>
      <c r="D223" s="8"/>
      <c r="E223" s="8">
        <v>0.8735389862036893</v>
      </c>
      <c r="F223">
        <f t="shared" si="10"/>
        <v>0.8735389862036893</v>
      </c>
      <c r="G223">
        <f t="shared" si="9"/>
        <v>-0.1264610137963107</v>
      </c>
    </row>
    <row r="224" spans="1:7" x14ac:dyDescent="0.3">
      <c r="A224" s="4" t="s">
        <v>221</v>
      </c>
      <c r="B224" s="5">
        <v>55910</v>
      </c>
      <c r="C224" s="8">
        <f t="shared" si="11"/>
        <v>-7.8435547984100351E-3</v>
      </c>
      <c r="D224" s="8"/>
      <c r="E224" s="8">
        <v>0.90439987059204141</v>
      </c>
      <c r="F224">
        <f t="shared" si="10"/>
        <v>0.90439987059204141</v>
      </c>
      <c r="G224">
        <f t="shared" si="9"/>
        <v>-9.5600129407958589E-2</v>
      </c>
    </row>
    <row r="225" spans="1:7" x14ac:dyDescent="0.3">
      <c r="A225" s="4" t="s">
        <v>222</v>
      </c>
      <c r="B225" s="5">
        <v>53506</v>
      </c>
      <c r="C225" s="8">
        <f t="shared" si="11"/>
        <v>-4.2997674834555522E-2</v>
      </c>
      <c r="D225" s="8"/>
      <c r="E225" s="8">
        <v>0.98194164066801248</v>
      </c>
      <c r="F225">
        <f t="shared" si="10"/>
        <v>0.98194164066801248</v>
      </c>
      <c r="G225">
        <f t="shared" si="9"/>
        <v>-1.8058359331987517E-2</v>
      </c>
    </row>
    <row r="226" spans="1:7" x14ac:dyDescent="0.3">
      <c r="A226" s="4" t="s">
        <v>223</v>
      </c>
      <c r="B226" s="5">
        <v>47457</v>
      </c>
      <c r="C226" s="8">
        <f t="shared" si="11"/>
        <v>-0.11305274174858893</v>
      </c>
      <c r="D226" s="8"/>
      <c r="E226" s="8">
        <v>0.87310961474776461</v>
      </c>
      <c r="F226">
        <f t="shared" si="10"/>
        <v>0.87310961474776461</v>
      </c>
      <c r="G226">
        <f t="shared" si="9"/>
        <v>-0.12689038525223539</v>
      </c>
    </row>
    <row r="227" spans="1:7" x14ac:dyDescent="0.3">
      <c r="A227" s="4" t="s">
        <v>224</v>
      </c>
      <c r="B227" s="5">
        <v>48234</v>
      </c>
      <c r="C227" s="8">
        <f t="shared" si="11"/>
        <v>1.6372716353751926E-2</v>
      </c>
      <c r="D227" s="8"/>
      <c r="E227" s="8">
        <v>0.85983207658163541</v>
      </c>
      <c r="F227">
        <f t="shared" si="10"/>
        <v>0.85983207658163541</v>
      </c>
      <c r="G227">
        <f t="shared" si="9"/>
        <v>-0.14016792341836459</v>
      </c>
    </row>
    <row r="228" spans="1:7" x14ac:dyDescent="0.3">
      <c r="A228" s="4" t="s">
        <v>225</v>
      </c>
      <c r="B228" s="5">
        <v>50011</v>
      </c>
      <c r="C228" s="8">
        <f t="shared" si="11"/>
        <v>3.6841232325745432E-2</v>
      </c>
      <c r="D228" s="8"/>
      <c r="E228" s="8">
        <v>0.87644801177687037</v>
      </c>
      <c r="F228">
        <f t="shared" si="10"/>
        <v>0.87644801177687037</v>
      </c>
      <c r="G228">
        <f t="shared" si="9"/>
        <v>-0.12355198822312963</v>
      </c>
    </row>
    <row r="229" spans="1:7" x14ac:dyDescent="0.3">
      <c r="A229" s="4" t="s">
        <v>226</v>
      </c>
      <c r="B229" s="5">
        <v>52338</v>
      </c>
      <c r="C229" s="8">
        <f t="shared" si="11"/>
        <v>4.6529763452040518E-2</v>
      </c>
      <c r="D229" s="8"/>
      <c r="E229" s="8">
        <v>0.88446134347275029</v>
      </c>
      <c r="F229">
        <f t="shared" si="10"/>
        <v>0.88446134347275029</v>
      </c>
      <c r="G229">
        <f t="shared" si="9"/>
        <v>-0.11553865652724971</v>
      </c>
    </row>
    <row r="230" spans="1:7" x14ac:dyDescent="0.3">
      <c r="A230" s="4" t="s">
        <v>227</v>
      </c>
      <c r="B230" s="5">
        <v>54256</v>
      </c>
      <c r="C230" s="8">
        <f t="shared" si="11"/>
        <v>3.664641369559396E-2</v>
      </c>
      <c r="D230" s="8"/>
      <c r="E230" s="8">
        <v>0.95072545033994538</v>
      </c>
      <c r="F230">
        <f t="shared" si="10"/>
        <v>0.95072545033994538</v>
      </c>
      <c r="G230">
        <f t="shared" si="9"/>
        <v>-4.9274549660054623E-2</v>
      </c>
    </row>
    <row r="231" spans="1:7" x14ac:dyDescent="0.3">
      <c r="A231" s="4" t="s">
        <v>228</v>
      </c>
      <c r="B231" s="5">
        <v>52482</v>
      </c>
      <c r="C231" s="8">
        <f t="shared" si="11"/>
        <v>-3.269684458861688E-2</v>
      </c>
      <c r="D231" s="8"/>
      <c r="E231" s="8">
        <v>0.91314333437728368</v>
      </c>
      <c r="F231">
        <f t="shared" si="10"/>
        <v>0.91314333437728368</v>
      </c>
      <c r="G231">
        <f t="shared" si="9"/>
        <v>-8.6856665622716323E-2</v>
      </c>
    </row>
    <row r="232" spans="1:7" x14ac:dyDescent="0.3">
      <c r="A232" s="4" t="s">
        <v>229</v>
      </c>
      <c r="B232" s="5">
        <v>51507</v>
      </c>
      <c r="C232" s="8">
        <f t="shared" si="11"/>
        <v>-1.85777981022065E-2</v>
      </c>
      <c r="D232" s="8"/>
      <c r="E232" s="8">
        <v>0.84504200026250165</v>
      </c>
      <c r="F232">
        <f t="shared" si="10"/>
        <v>0.84504200026250165</v>
      </c>
      <c r="G232">
        <f t="shared" si="9"/>
        <v>-0.15495799973749835</v>
      </c>
    </row>
    <row r="233" spans="1:7" x14ac:dyDescent="0.3">
      <c r="A233" s="4" t="s">
        <v>230</v>
      </c>
      <c r="B233" s="5">
        <v>47638</v>
      </c>
      <c r="C233" s="8">
        <f t="shared" si="11"/>
        <v>-7.5116003649989271E-2</v>
      </c>
      <c r="D233" s="8"/>
      <c r="E233" s="8">
        <v>0.79714194876257094</v>
      </c>
      <c r="F233">
        <f t="shared" si="10"/>
        <v>0.79714194876257094</v>
      </c>
      <c r="G233">
        <f t="shared" si="9"/>
        <v>-0.20285805123742906</v>
      </c>
    </row>
    <row r="234" spans="1:7" x14ac:dyDescent="0.3">
      <c r="A234" s="4" t="s">
        <v>231</v>
      </c>
      <c r="B234" s="5">
        <v>47094</v>
      </c>
      <c r="C234" s="8">
        <f t="shared" si="11"/>
        <v>-1.1419455056887351E-2</v>
      </c>
      <c r="D234" s="8"/>
      <c r="E234" s="8">
        <v>0.82011005851212038</v>
      </c>
      <c r="F234">
        <f t="shared" si="10"/>
        <v>0.82011005851212038</v>
      </c>
      <c r="G234">
        <f t="shared" si="9"/>
        <v>-0.17988994148787962</v>
      </c>
    </row>
    <row r="235" spans="1:7" x14ac:dyDescent="0.3">
      <c r="A235" s="4" t="s">
        <v>232</v>
      </c>
      <c r="B235" s="5">
        <v>50414</v>
      </c>
      <c r="C235" s="8">
        <f t="shared" si="11"/>
        <v>7.049730326580872E-2</v>
      </c>
      <c r="D235" s="8"/>
      <c r="E235" s="8">
        <v>0.89462663259511643</v>
      </c>
      <c r="F235">
        <f t="shared" si="10"/>
        <v>0.89462663259511643</v>
      </c>
      <c r="G235">
        <f t="shared" si="9"/>
        <v>-0.10537336740488357</v>
      </c>
    </row>
    <row r="236" spans="1:7" x14ac:dyDescent="0.3">
      <c r="A236" s="4" t="s">
        <v>233</v>
      </c>
      <c r="B236" s="5">
        <v>51626</v>
      </c>
      <c r="C236" s="8">
        <f t="shared" si="11"/>
        <v>2.4040941008450112E-2</v>
      </c>
      <c r="D236" s="8"/>
      <c r="E236" s="8">
        <v>0.92337685566088357</v>
      </c>
      <c r="F236">
        <f t="shared" si="10"/>
        <v>0.92337685566088357</v>
      </c>
      <c r="G236">
        <f t="shared" si="9"/>
        <v>-7.6623144339116434E-2</v>
      </c>
    </row>
    <row r="237" spans="1:7" x14ac:dyDescent="0.3">
      <c r="A237" s="4" t="s">
        <v>234</v>
      </c>
      <c r="B237" s="5">
        <v>51239</v>
      </c>
      <c r="C237" s="8">
        <f t="shared" si="11"/>
        <v>-7.4962228334559677E-3</v>
      </c>
      <c r="D237" s="8"/>
      <c r="E237" s="8">
        <v>0.95763091989683402</v>
      </c>
      <c r="F237">
        <f t="shared" si="10"/>
        <v>0.95763091989683402</v>
      </c>
      <c r="G237">
        <f t="shared" si="9"/>
        <v>-4.2369080103165979E-2</v>
      </c>
    </row>
    <row r="238" spans="1:7" x14ac:dyDescent="0.3">
      <c r="A238" s="4" t="s">
        <v>235</v>
      </c>
      <c r="B238" s="5">
        <v>53168</v>
      </c>
      <c r="C238" s="8">
        <f t="shared" si="11"/>
        <v>3.7647104744432891E-2</v>
      </c>
      <c r="D238" s="8"/>
      <c r="E238" s="8">
        <v>1.1203405187854267</v>
      </c>
      <c r="F238">
        <f t="shared" si="10"/>
        <v>1.1203405187854267</v>
      </c>
      <c r="G238">
        <f t="shared" si="9"/>
        <v>0.12034051878542673</v>
      </c>
    </row>
    <row r="239" spans="1:7" x14ac:dyDescent="0.3">
      <c r="A239" s="4" t="s">
        <v>236</v>
      </c>
      <c r="B239" s="5">
        <v>55829</v>
      </c>
      <c r="C239" s="8">
        <f t="shared" si="11"/>
        <v>5.0048901594944351E-2</v>
      </c>
      <c r="D239" s="8"/>
      <c r="E239" s="8">
        <v>1.1574615416511174</v>
      </c>
      <c r="F239">
        <f t="shared" si="10"/>
        <v>1.1574615416511174</v>
      </c>
      <c r="G239">
        <f t="shared" si="9"/>
        <v>0.15746154165111736</v>
      </c>
    </row>
    <row r="240" spans="1:7" x14ac:dyDescent="0.3">
      <c r="A240" s="4" t="s">
        <v>237</v>
      </c>
      <c r="B240" s="5">
        <v>61288</v>
      </c>
      <c r="C240" s="8">
        <f t="shared" si="11"/>
        <v>9.7780723280015858E-2</v>
      </c>
      <c r="D240" s="8"/>
      <c r="E240" s="8">
        <v>1.225490392113735</v>
      </c>
      <c r="F240">
        <f t="shared" si="10"/>
        <v>1.225490392113735</v>
      </c>
      <c r="G240">
        <f t="shared" si="9"/>
        <v>0.22549039211373501</v>
      </c>
    </row>
    <row r="241" spans="1:7" x14ac:dyDescent="0.3">
      <c r="A241" s="4" t="s">
        <v>238</v>
      </c>
      <c r="B241" s="5">
        <v>54115</v>
      </c>
      <c r="C241" s="8">
        <f t="shared" si="11"/>
        <v>-0.11703759300352434</v>
      </c>
      <c r="D241" s="8"/>
      <c r="E241" s="8">
        <v>1.0339523864114029</v>
      </c>
      <c r="F241">
        <f t="shared" si="10"/>
        <v>1.0339523864114029</v>
      </c>
      <c r="G241">
        <f t="shared" si="9"/>
        <v>3.3952386411402857E-2</v>
      </c>
    </row>
    <row r="242" spans="1:7" x14ac:dyDescent="0.3">
      <c r="A242" s="4" t="s">
        <v>239</v>
      </c>
      <c r="B242" s="5">
        <v>54628</v>
      </c>
      <c r="C242" s="8">
        <f t="shared" si="11"/>
        <v>9.4798115125196425E-3</v>
      </c>
      <c r="D242" s="8"/>
      <c r="E242" s="8">
        <v>1.0068563845473311</v>
      </c>
      <c r="F242">
        <f t="shared" si="10"/>
        <v>1.0068563845473311</v>
      </c>
      <c r="G242">
        <f t="shared" si="9"/>
        <v>6.8563845473310625E-3</v>
      </c>
    </row>
    <row r="243" spans="1:7" x14ac:dyDescent="0.3">
      <c r="A243" s="4" t="s">
        <v>240</v>
      </c>
      <c r="B243" s="5">
        <v>54724</v>
      </c>
      <c r="C243" s="8">
        <f t="shared" si="11"/>
        <v>1.7573405579556223E-3</v>
      </c>
      <c r="D243" s="8"/>
      <c r="E243" s="8">
        <v>1.0427194085591249</v>
      </c>
      <c r="F243">
        <f t="shared" si="10"/>
        <v>1.0427194085591249</v>
      </c>
      <c r="G243">
        <f t="shared" si="9"/>
        <v>4.2719408559124927E-2</v>
      </c>
    </row>
    <row r="244" spans="1:7" x14ac:dyDescent="0.3">
      <c r="A244" s="4" t="s">
        <v>241</v>
      </c>
      <c r="B244" s="5">
        <v>50007</v>
      </c>
      <c r="C244" s="8">
        <f t="shared" si="11"/>
        <v>-8.6196184489437888E-2</v>
      </c>
      <c r="D244" s="8"/>
      <c r="E244" s="8">
        <v>0.97087774477255517</v>
      </c>
      <c r="F244">
        <f t="shared" si="10"/>
        <v>0.97087774477255517</v>
      </c>
      <c r="G244">
        <f t="shared" si="9"/>
        <v>-2.9122255227444827E-2</v>
      </c>
    </row>
    <row r="245" spans="1:7" x14ac:dyDescent="0.3">
      <c r="A245" s="4" t="s">
        <v>242</v>
      </c>
      <c r="B245" s="5">
        <v>46907</v>
      </c>
      <c r="C245" s="8">
        <f t="shared" si="11"/>
        <v>-6.1991321215029926E-2</v>
      </c>
      <c r="D245" s="8"/>
      <c r="E245" s="8">
        <v>0.98465510726730765</v>
      </c>
      <c r="F245">
        <f t="shared" si="10"/>
        <v>0.98465510726730765</v>
      </c>
      <c r="G245">
        <f t="shared" si="9"/>
        <v>-1.534489273269235E-2</v>
      </c>
    </row>
    <row r="246" spans="1:7" x14ac:dyDescent="0.3">
      <c r="A246" s="4" t="s">
        <v>243</v>
      </c>
      <c r="B246" s="5">
        <v>51583</v>
      </c>
      <c r="C246" s="8">
        <f t="shared" si="11"/>
        <v>9.9686613938218205E-2</v>
      </c>
      <c r="D246" s="8"/>
      <c r="E246" s="8">
        <v>1.0953199983012698</v>
      </c>
      <c r="F246">
        <f t="shared" si="10"/>
        <v>1.0953199983012698</v>
      </c>
      <c r="G246">
        <f t="shared" si="9"/>
        <v>9.5319998301269804E-2</v>
      </c>
    </row>
    <row r="247" spans="1:7" x14ac:dyDescent="0.3">
      <c r="A247" s="4" t="s">
        <v>244</v>
      </c>
      <c r="B247" s="5">
        <v>51150</v>
      </c>
      <c r="C247" s="8">
        <f t="shared" si="11"/>
        <v>-8.3942384118799174E-3</v>
      </c>
      <c r="D247" s="8"/>
      <c r="E247" s="8">
        <v>1.0145991192922601</v>
      </c>
      <c r="F247">
        <f t="shared" si="10"/>
        <v>1.0145991192922601</v>
      </c>
      <c r="G247">
        <f t="shared" si="9"/>
        <v>1.4599119292260099E-2</v>
      </c>
    </row>
    <row r="248" spans="1:7" x14ac:dyDescent="0.3">
      <c r="A248" s="4" t="s">
        <v>245</v>
      </c>
      <c r="B248" s="5">
        <v>56229</v>
      </c>
      <c r="C248" s="8">
        <f t="shared" si="11"/>
        <v>9.929618768328452E-2</v>
      </c>
      <c r="D248" s="8"/>
      <c r="E248" s="8">
        <v>1.0891605005229923</v>
      </c>
      <c r="F248">
        <f t="shared" si="10"/>
        <v>1.0891605005229923</v>
      </c>
      <c r="G248">
        <f t="shared" si="9"/>
        <v>8.9160500522992292E-2</v>
      </c>
    </row>
    <row r="249" spans="1:7" x14ac:dyDescent="0.3">
      <c r="A249" s="4" t="s">
        <v>246</v>
      </c>
      <c r="B249" s="5">
        <v>52760</v>
      </c>
      <c r="C249" s="8">
        <f t="shared" si="11"/>
        <v>-6.1694143591385253E-2</v>
      </c>
      <c r="D249" s="8"/>
      <c r="E249" s="8">
        <v>1.0296844200706494</v>
      </c>
      <c r="F249">
        <f t="shared" si="10"/>
        <v>1.0296844200706494</v>
      </c>
      <c r="G249">
        <f t="shared" si="9"/>
        <v>2.968442007064942E-2</v>
      </c>
    </row>
    <row r="250" spans="1:7" x14ac:dyDescent="0.3">
      <c r="A250" s="4" t="s">
        <v>247</v>
      </c>
      <c r="B250" s="5">
        <v>53080</v>
      </c>
      <c r="C250" s="8">
        <f t="shared" si="11"/>
        <v>6.0652009097801329E-3</v>
      </c>
      <c r="D250" s="8"/>
      <c r="E250" s="8">
        <v>0.99834486909419196</v>
      </c>
      <c r="F250">
        <f t="shared" si="10"/>
        <v>0.99834486909419196</v>
      </c>
      <c r="G250">
        <f t="shared" si="9"/>
        <v>-1.6551309058080443E-3</v>
      </c>
    </row>
    <row r="251" spans="1:7" x14ac:dyDescent="0.3">
      <c r="A251" s="4" t="s">
        <v>248</v>
      </c>
      <c r="B251" s="5">
        <v>50864</v>
      </c>
      <c r="C251" s="8">
        <f t="shared" si="11"/>
        <v>-4.17483044461191E-2</v>
      </c>
      <c r="D251" s="8"/>
      <c r="E251" s="8">
        <v>0.91106772465922725</v>
      </c>
      <c r="F251">
        <f t="shared" si="10"/>
        <v>0.91106772465922725</v>
      </c>
      <c r="G251">
        <f t="shared" si="9"/>
        <v>-8.8932275340772748E-2</v>
      </c>
    </row>
    <row r="252" spans="1:7" x14ac:dyDescent="0.3">
      <c r="A252" s="4" t="s">
        <v>249</v>
      </c>
      <c r="B252" s="5">
        <v>46625</v>
      </c>
      <c r="C252" s="8">
        <f t="shared" si="11"/>
        <v>-8.3339886756841786E-2</v>
      </c>
      <c r="D252" s="8"/>
      <c r="E252" s="8">
        <v>0.76075251272679811</v>
      </c>
      <c r="F252">
        <f t="shared" si="10"/>
        <v>0.76075251272679811</v>
      </c>
      <c r="G252">
        <f t="shared" si="9"/>
        <v>-0.23924748727320189</v>
      </c>
    </row>
    <row r="253" spans="1:7" x14ac:dyDescent="0.3">
      <c r="A253" s="4" t="s">
        <v>250</v>
      </c>
      <c r="B253" s="5">
        <v>45059</v>
      </c>
      <c r="C253" s="8">
        <f t="shared" si="11"/>
        <v>-3.3587131367292189E-2</v>
      </c>
      <c r="D253" s="8"/>
      <c r="E253" s="8">
        <v>0.83265268409867876</v>
      </c>
      <c r="F253">
        <f t="shared" si="10"/>
        <v>0.83265268409867876</v>
      </c>
      <c r="G253">
        <f t="shared" si="9"/>
        <v>-0.16734731590132124</v>
      </c>
    </row>
    <row r="254" spans="1:7" x14ac:dyDescent="0.3">
      <c r="A254" s="4" t="s">
        <v>251</v>
      </c>
      <c r="B254" s="5">
        <v>45868</v>
      </c>
      <c r="C254" s="8">
        <f t="shared" si="11"/>
        <v>1.7954237777136672E-2</v>
      </c>
      <c r="D254" s="8"/>
      <c r="E254" s="8">
        <v>0.83964267408654902</v>
      </c>
      <c r="F254">
        <f t="shared" si="10"/>
        <v>0.83964267408654902</v>
      </c>
      <c r="G254">
        <f t="shared" si="9"/>
        <v>-0.16035732591345098</v>
      </c>
    </row>
    <row r="255" spans="1:7" x14ac:dyDescent="0.3">
      <c r="A255" s="4" t="s">
        <v>252</v>
      </c>
      <c r="B255" s="5">
        <v>45120</v>
      </c>
      <c r="C255" s="8">
        <f t="shared" si="11"/>
        <v>-1.630766547484086E-2</v>
      </c>
      <c r="D255" s="8"/>
      <c r="E255" s="8">
        <v>0.82450113295811711</v>
      </c>
      <c r="F255">
        <f t="shared" si="10"/>
        <v>0.82450113295811711</v>
      </c>
      <c r="G255">
        <f t="shared" si="9"/>
        <v>-0.17549886704188289</v>
      </c>
    </row>
    <row r="256" spans="1:7" x14ac:dyDescent="0.3">
      <c r="A256" s="4" t="s">
        <v>253</v>
      </c>
      <c r="B256" s="5">
        <v>43349</v>
      </c>
      <c r="C256" s="8">
        <f t="shared" si="11"/>
        <v>-3.925088652482267E-2</v>
      </c>
      <c r="D256" s="8"/>
      <c r="E256" s="8">
        <v>0.86685863979042932</v>
      </c>
      <c r="F256">
        <f t="shared" si="10"/>
        <v>0.86685863979042932</v>
      </c>
      <c r="G256">
        <f t="shared" si="9"/>
        <v>-0.13314136020957068</v>
      </c>
    </row>
    <row r="257" spans="1:7" x14ac:dyDescent="0.3">
      <c r="A257" s="4" t="s">
        <v>254</v>
      </c>
      <c r="B257" s="5">
        <v>40405</v>
      </c>
      <c r="C257" s="8">
        <f t="shared" si="11"/>
        <v>-6.7913908048628624E-2</v>
      </c>
      <c r="D257" s="8"/>
      <c r="E257" s="8">
        <v>0.86138529430575395</v>
      </c>
      <c r="F257">
        <f t="shared" si="10"/>
        <v>0.86138529430575395</v>
      </c>
      <c r="G257">
        <f t="shared" si="9"/>
        <v>-0.13861470569424605</v>
      </c>
    </row>
    <row r="258" spans="1:7" x14ac:dyDescent="0.3">
      <c r="A258" s="4" t="s">
        <v>255</v>
      </c>
      <c r="B258" s="5">
        <v>42793</v>
      </c>
      <c r="C258" s="8">
        <f t="shared" si="11"/>
        <v>5.9101596337086892E-2</v>
      </c>
      <c r="D258" s="8"/>
      <c r="E258" s="8">
        <v>0.82959502161564858</v>
      </c>
      <c r="F258">
        <f t="shared" si="10"/>
        <v>0.82959502161564858</v>
      </c>
      <c r="G258">
        <f t="shared" si="9"/>
        <v>-0.17040497838435142</v>
      </c>
    </row>
    <row r="259" spans="1:7" x14ac:dyDescent="0.3">
      <c r="A259" s="4" t="s">
        <v>256</v>
      </c>
      <c r="B259" s="5">
        <v>50055</v>
      </c>
      <c r="C259" s="8">
        <f t="shared" si="11"/>
        <v>0.16970065197579043</v>
      </c>
      <c r="D259" s="8"/>
      <c r="E259" s="8">
        <v>0.97859237536656896</v>
      </c>
      <c r="F259">
        <f t="shared" si="10"/>
        <v>0.97859237536656896</v>
      </c>
      <c r="G259">
        <f t="shared" si="9"/>
        <v>-2.1407624633431044E-2</v>
      </c>
    </row>
    <row r="260" spans="1:7" x14ac:dyDescent="0.3">
      <c r="A260" s="4" t="s">
        <v>257</v>
      </c>
      <c r="B260" s="5">
        <v>53910</v>
      </c>
      <c r="C260" s="8">
        <f t="shared" si="11"/>
        <v>7.7015283188492711E-2</v>
      </c>
      <c r="D260" s="8"/>
      <c r="E260" s="8">
        <v>0.95875793629621731</v>
      </c>
      <c r="F260">
        <f t="shared" si="10"/>
        <v>0.95875793629621731</v>
      </c>
      <c r="G260">
        <f t="shared" si="9"/>
        <v>-4.1242063703782694E-2</v>
      </c>
    </row>
    <row r="261" spans="1:7" x14ac:dyDescent="0.3">
      <c r="A261" s="4" t="s">
        <v>258</v>
      </c>
      <c r="B261" s="5">
        <v>48471</v>
      </c>
      <c r="C261" s="8">
        <f t="shared" si="11"/>
        <v>-0.10089037284362823</v>
      </c>
      <c r="D261" s="8"/>
      <c r="E261" s="8">
        <v>0.91870735405610315</v>
      </c>
      <c r="F261">
        <f t="shared" si="10"/>
        <v>0.91870735405610315</v>
      </c>
      <c r="G261">
        <f t="shared" si="9"/>
        <v>-8.1292645943896846E-2</v>
      </c>
    </row>
    <row r="262" spans="1:7" x14ac:dyDescent="0.3">
      <c r="A262" s="4" t="s">
        <v>259</v>
      </c>
      <c r="B262" s="5">
        <v>51526</v>
      </c>
      <c r="C262" s="8">
        <f t="shared" si="11"/>
        <v>6.3027377194611267E-2</v>
      </c>
      <c r="D262" s="8"/>
      <c r="E262" s="8">
        <v>0.970723436322532</v>
      </c>
      <c r="F262">
        <f t="shared" si="10"/>
        <v>0.970723436322532</v>
      </c>
      <c r="G262">
        <f t="shared" si="9"/>
        <v>-2.9276563677468004E-2</v>
      </c>
    </row>
    <row r="263" spans="1:7" x14ac:dyDescent="0.3">
      <c r="A263" s="4" t="s">
        <v>260</v>
      </c>
      <c r="B263" s="5">
        <v>57308</v>
      </c>
      <c r="C263" s="8">
        <f t="shared" si="11"/>
        <v>0.11221519233008581</v>
      </c>
      <c r="D263" s="8"/>
      <c r="E263" s="8">
        <v>1.1266907832651778</v>
      </c>
      <c r="F263">
        <f t="shared" si="10"/>
        <v>1.1266907832651778</v>
      </c>
      <c r="G263">
        <f t="shared" si="9"/>
        <v>0.1266907832651778</v>
      </c>
    </row>
    <row r="264" spans="1:7" x14ac:dyDescent="0.3">
      <c r="A264" s="4" t="s">
        <v>261</v>
      </c>
      <c r="B264" s="5">
        <v>57901</v>
      </c>
      <c r="C264" s="8">
        <f t="shared" si="11"/>
        <v>1.034759544915187E-2</v>
      </c>
      <c r="D264" s="8"/>
      <c r="E264" s="8">
        <v>1.2418445040214476</v>
      </c>
      <c r="F264">
        <f t="shared" si="10"/>
        <v>1.2418445040214476</v>
      </c>
      <c r="G264">
        <f t="shared" ref="G264:G327" si="12">F264-1</f>
        <v>0.24184450402144764</v>
      </c>
    </row>
    <row r="265" spans="1:7" x14ac:dyDescent="0.3">
      <c r="A265" s="4" t="s">
        <v>262</v>
      </c>
      <c r="B265" s="5">
        <v>58367</v>
      </c>
      <c r="C265" s="8">
        <f t="shared" si="11"/>
        <v>8.0482202379923429E-3</v>
      </c>
      <c r="D265" s="8"/>
      <c r="E265" s="8">
        <v>1.2953461017776693</v>
      </c>
      <c r="F265">
        <f t="shared" si="10"/>
        <v>1.2953461017776693</v>
      </c>
      <c r="G265">
        <f t="shared" si="12"/>
        <v>0.29534610177766929</v>
      </c>
    </row>
    <row r="266" spans="1:7" x14ac:dyDescent="0.3">
      <c r="A266" s="4" t="s">
        <v>263</v>
      </c>
      <c r="B266" s="5">
        <v>64924</v>
      </c>
      <c r="C266" s="8">
        <f t="shared" si="11"/>
        <v>0.11234087755067068</v>
      </c>
      <c r="D266" s="8"/>
      <c r="E266" s="8">
        <v>1.4154530391558384</v>
      </c>
      <c r="F266">
        <f t="shared" si="10"/>
        <v>1.4154530391558384</v>
      </c>
      <c r="G266">
        <f t="shared" si="12"/>
        <v>0.41545303915583842</v>
      </c>
    </row>
    <row r="267" spans="1:7" x14ac:dyDescent="0.3">
      <c r="A267" s="4" t="s">
        <v>264</v>
      </c>
      <c r="B267" s="5">
        <v>61906</v>
      </c>
      <c r="C267" s="8">
        <f t="shared" si="11"/>
        <v>-4.6485121064629431E-2</v>
      </c>
      <c r="D267" s="8"/>
      <c r="E267" s="8">
        <v>1.3720301418439715</v>
      </c>
      <c r="F267">
        <f t="shared" si="10"/>
        <v>1.3720301418439715</v>
      </c>
      <c r="G267">
        <f t="shared" si="12"/>
        <v>0.37203014184397154</v>
      </c>
    </row>
    <row r="268" spans="1:7" x14ac:dyDescent="0.3">
      <c r="A268" s="4" t="s">
        <v>265</v>
      </c>
      <c r="B268" s="5">
        <v>60227</v>
      </c>
      <c r="C268" s="8">
        <f t="shared" si="11"/>
        <v>-2.7121765257002606E-2</v>
      </c>
      <c r="D268" s="8"/>
      <c r="E268" s="8">
        <v>1.3893515421347666</v>
      </c>
      <c r="F268">
        <f t="shared" si="10"/>
        <v>1.3893515421347666</v>
      </c>
      <c r="G268">
        <f t="shared" si="12"/>
        <v>0.38935154213476664</v>
      </c>
    </row>
    <row r="269" spans="1:7" x14ac:dyDescent="0.3">
      <c r="A269" s="4" t="s">
        <v>266</v>
      </c>
      <c r="B269" s="5">
        <v>64670</v>
      </c>
      <c r="C269" s="8">
        <f t="shared" si="11"/>
        <v>7.3770900094642045E-2</v>
      </c>
      <c r="D269" s="8"/>
      <c r="E269" s="8">
        <v>1.6005444870684322</v>
      </c>
      <c r="F269">
        <f t="shared" ref="F269:F332" si="13">B269/B257</f>
        <v>1.6005444870684322</v>
      </c>
      <c r="G269">
        <f t="shared" si="12"/>
        <v>0.60054448706843222</v>
      </c>
    </row>
    <row r="270" spans="1:7" x14ac:dyDescent="0.3">
      <c r="A270" s="4" t="s">
        <v>267</v>
      </c>
      <c r="B270" s="5">
        <v>66662</v>
      </c>
      <c r="C270" s="8">
        <f t="shared" si="11"/>
        <v>3.0802535951754972E-2</v>
      </c>
      <c r="D270" s="8"/>
      <c r="E270" s="8">
        <v>1.5577781412847895</v>
      </c>
      <c r="F270">
        <f t="shared" si="13"/>
        <v>1.5577781412847895</v>
      </c>
      <c r="G270">
        <f t="shared" si="12"/>
        <v>0.55777814128478953</v>
      </c>
    </row>
    <row r="271" spans="1:7" x14ac:dyDescent="0.3">
      <c r="A271" s="4" t="s">
        <v>268</v>
      </c>
      <c r="B271" s="5">
        <v>64984</v>
      </c>
      <c r="C271" s="8">
        <f t="shared" si="11"/>
        <v>-2.5171762023341593E-2</v>
      </c>
      <c r="D271" s="8"/>
      <c r="E271" s="8">
        <v>1.2982519228848266</v>
      </c>
      <c r="F271">
        <f t="shared" si="13"/>
        <v>1.2982519228848266</v>
      </c>
      <c r="G271">
        <f t="shared" si="12"/>
        <v>0.2982519228848266</v>
      </c>
    </row>
    <row r="272" spans="1:7" x14ac:dyDescent="0.3">
      <c r="A272" s="4" t="s">
        <v>269</v>
      </c>
      <c r="B272" s="5">
        <v>65403</v>
      </c>
      <c r="C272" s="8">
        <f t="shared" si="11"/>
        <v>6.4477409823957554E-3</v>
      </c>
      <c r="D272" s="8"/>
      <c r="E272" s="8">
        <v>1.2131886477462437</v>
      </c>
      <c r="F272">
        <f t="shared" si="13"/>
        <v>1.2131886477462437</v>
      </c>
      <c r="G272">
        <f t="shared" si="12"/>
        <v>0.21318864774624369</v>
      </c>
    </row>
    <row r="273" spans="1:7" x14ac:dyDescent="0.3">
      <c r="A273" s="4" t="s">
        <v>270</v>
      </c>
      <c r="B273" s="5">
        <v>62711</v>
      </c>
      <c r="C273" s="8">
        <f t="shared" si="11"/>
        <v>-4.1160191428527781E-2</v>
      </c>
      <c r="D273" s="8"/>
      <c r="E273" s="8">
        <v>1.2937839120298735</v>
      </c>
      <c r="F273">
        <f t="shared" si="13"/>
        <v>1.2937839120298735</v>
      </c>
      <c r="G273">
        <f t="shared" si="12"/>
        <v>0.29378391202987353</v>
      </c>
    </row>
    <row r="274" spans="1:7" x14ac:dyDescent="0.3">
      <c r="A274" s="4" t="s">
        <v>271</v>
      </c>
      <c r="B274" s="5">
        <v>62899</v>
      </c>
      <c r="C274" s="8">
        <f t="shared" si="11"/>
        <v>2.997879159956085E-3</v>
      </c>
      <c r="D274" s="8"/>
      <c r="E274" s="8">
        <v>1.2207235182238094</v>
      </c>
      <c r="F274">
        <f t="shared" si="13"/>
        <v>1.2207235182238094</v>
      </c>
      <c r="G274">
        <f t="shared" si="12"/>
        <v>0.22072351822380942</v>
      </c>
    </row>
    <row r="275" spans="1:7" x14ac:dyDescent="0.3">
      <c r="A275" s="4" t="s">
        <v>272</v>
      </c>
      <c r="B275" s="5">
        <v>65920</v>
      </c>
      <c r="C275" s="8">
        <f t="shared" si="11"/>
        <v>4.8029380435301139E-2</v>
      </c>
      <c r="D275" s="8"/>
      <c r="E275" s="8">
        <v>1.1502757032177009</v>
      </c>
      <c r="F275">
        <f t="shared" si="13"/>
        <v>1.1502757032177009</v>
      </c>
      <c r="G275">
        <f t="shared" si="12"/>
        <v>0.1502757032177009</v>
      </c>
    </row>
    <row r="276" spans="1:7" x14ac:dyDescent="0.3">
      <c r="A276" s="4" t="s">
        <v>273</v>
      </c>
      <c r="B276" s="5">
        <v>70835.05</v>
      </c>
      <c r="C276" s="8">
        <f t="shared" si="11"/>
        <v>7.4560831310679587E-2</v>
      </c>
      <c r="D276" s="8"/>
      <c r="E276" s="8">
        <v>1.2233821522944337</v>
      </c>
      <c r="F276">
        <f t="shared" si="13"/>
        <v>1.2233821522944337</v>
      </c>
      <c r="G276">
        <f t="shared" si="12"/>
        <v>0.2233821522944337</v>
      </c>
    </row>
    <row r="277" spans="1:7" x14ac:dyDescent="0.3">
      <c r="A277" s="4" t="s">
        <v>274</v>
      </c>
      <c r="B277" s="5">
        <v>74293.509999999995</v>
      </c>
      <c r="C277" s="8">
        <f t="shared" ref="C277:C340" si="14">(B277/B276)-1</f>
        <v>4.8824134379801931E-2</v>
      </c>
      <c r="D277" s="8"/>
      <c r="E277" s="8">
        <v>1.2728684016653244</v>
      </c>
      <c r="F277">
        <f t="shared" si="13"/>
        <v>1.2728684016653244</v>
      </c>
      <c r="G277">
        <f t="shared" si="12"/>
        <v>0.27286840166532444</v>
      </c>
    </row>
    <row r="278" spans="1:7" x14ac:dyDescent="0.3">
      <c r="A278" s="4" t="s">
        <v>275</v>
      </c>
      <c r="B278" s="5">
        <v>74308.490000000005</v>
      </c>
      <c r="C278" s="8">
        <f t="shared" si="14"/>
        <v>2.0163268635453591E-4</v>
      </c>
      <c r="D278" s="8"/>
      <c r="E278" s="8">
        <v>1.1445457766003329</v>
      </c>
      <c r="F278">
        <f t="shared" si="13"/>
        <v>1.1445457766003329</v>
      </c>
      <c r="G278">
        <f t="shared" si="12"/>
        <v>0.14454577660033285</v>
      </c>
    </row>
    <row r="279" spans="1:7" x14ac:dyDescent="0.3">
      <c r="A279" s="4" t="s">
        <v>276</v>
      </c>
      <c r="B279" s="5">
        <v>71970.990000000005</v>
      </c>
      <c r="C279" s="8">
        <f t="shared" si="14"/>
        <v>-3.1456701650107499E-2</v>
      </c>
      <c r="D279" s="8"/>
      <c r="E279" s="8">
        <v>1.1625850482990341</v>
      </c>
      <c r="F279">
        <f t="shared" si="13"/>
        <v>1.1625850482990341</v>
      </c>
      <c r="G279">
        <f t="shared" si="12"/>
        <v>0.16258504829903409</v>
      </c>
    </row>
    <row r="280" spans="1:7" x14ac:dyDescent="0.3">
      <c r="A280" s="4" t="s">
        <v>277</v>
      </c>
      <c r="B280" s="5">
        <v>76402.080000000002</v>
      </c>
      <c r="C280" s="8">
        <f t="shared" si="14"/>
        <v>6.1567723328524337E-2</v>
      </c>
      <c r="D280" s="8"/>
      <c r="E280" s="8">
        <v>1.2685685821973534</v>
      </c>
      <c r="F280">
        <f t="shared" si="13"/>
        <v>1.2685685821973534</v>
      </c>
      <c r="G280">
        <f t="shared" si="12"/>
        <v>0.26856858219735336</v>
      </c>
    </row>
    <row r="281" spans="1:7" x14ac:dyDescent="0.3">
      <c r="A281" s="4" t="s">
        <v>278</v>
      </c>
      <c r="B281" s="5">
        <v>84912.7</v>
      </c>
      <c r="C281" s="8">
        <f t="shared" si="14"/>
        <v>0.11139251706236264</v>
      </c>
      <c r="D281" s="8"/>
      <c r="E281" s="8">
        <v>1.3130153084892531</v>
      </c>
      <c r="F281">
        <f t="shared" si="13"/>
        <v>1.3130153084892531</v>
      </c>
      <c r="G281">
        <f t="shared" si="12"/>
        <v>0.31301530848925307</v>
      </c>
    </row>
    <row r="282" spans="1:7" x14ac:dyDescent="0.3">
      <c r="A282" s="4" t="s">
        <v>279</v>
      </c>
      <c r="B282" s="5">
        <v>85353.600000000006</v>
      </c>
      <c r="C282" s="8">
        <f t="shared" si="14"/>
        <v>5.192391715255873E-3</v>
      </c>
      <c r="D282" s="8"/>
      <c r="E282" s="8">
        <v>1.2803936275539289</v>
      </c>
      <c r="F282">
        <f t="shared" si="13"/>
        <v>1.2803936275539289</v>
      </c>
      <c r="G282">
        <f t="shared" si="12"/>
        <v>0.28039362755392894</v>
      </c>
    </row>
    <row r="283" spans="1:7" x14ac:dyDescent="0.3">
      <c r="A283" s="4" t="s">
        <v>280</v>
      </c>
      <c r="B283" s="5">
        <v>85365.56</v>
      </c>
      <c r="C283" s="8">
        <f t="shared" si="14"/>
        <v>1.4012297079424307E-4</v>
      </c>
      <c r="D283" s="8"/>
      <c r="E283" s="8">
        <v>1.3136396651483442</v>
      </c>
      <c r="F283">
        <f t="shared" si="13"/>
        <v>1.3136396651483442</v>
      </c>
      <c r="G283">
        <f t="shared" si="12"/>
        <v>0.31363966514834418</v>
      </c>
    </row>
    <row r="284" spans="1:7" x14ac:dyDescent="0.3">
      <c r="A284" s="4" t="s">
        <v>281</v>
      </c>
      <c r="B284" s="5">
        <v>86115.5</v>
      </c>
      <c r="C284" s="8">
        <f t="shared" si="14"/>
        <v>8.7850416491146444E-3</v>
      </c>
      <c r="D284" s="8"/>
      <c r="E284" s="8">
        <v>1.316690365885357</v>
      </c>
      <c r="F284">
        <f t="shared" si="13"/>
        <v>1.316690365885357</v>
      </c>
      <c r="G284">
        <f t="shared" si="12"/>
        <v>0.31669036588535704</v>
      </c>
    </row>
    <row r="285" spans="1:7" x14ac:dyDescent="0.3">
      <c r="A285" s="4" t="s">
        <v>282</v>
      </c>
      <c r="B285" s="5">
        <v>76753.61</v>
      </c>
      <c r="C285" s="8">
        <f t="shared" si="14"/>
        <v>-0.10871318171525446</v>
      </c>
      <c r="D285" s="8"/>
      <c r="E285" s="8">
        <v>1.2239257865446254</v>
      </c>
      <c r="F285">
        <f t="shared" si="13"/>
        <v>1.2239257865446254</v>
      </c>
      <c r="G285">
        <f t="shared" si="12"/>
        <v>0.22392578654462536</v>
      </c>
    </row>
    <row r="286" spans="1:7" x14ac:dyDescent="0.3">
      <c r="A286" s="4" t="s">
        <v>283</v>
      </c>
      <c r="B286" s="5">
        <v>72762.52</v>
      </c>
      <c r="C286" s="8">
        <f t="shared" si="14"/>
        <v>-5.1998726835128628E-2</v>
      </c>
      <c r="D286" s="8"/>
      <c r="E286" s="8">
        <v>1.1568152116885801</v>
      </c>
      <c r="F286">
        <f t="shared" si="13"/>
        <v>1.1568152116885801</v>
      </c>
      <c r="G286">
        <f t="shared" si="12"/>
        <v>0.15681521168858015</v>
      </c>
    </row>
    <row r="287" spans="1:7" x14ac:dyDescent="0.3">
      <c r="A287" s="4" t="s">
        <v>284</v>
      </c>
      <c r="B287" s="5">
        <v>79220.44</v>
      </c>
      <c r="C287" s="8">
        <f t="shared" si="14"/>
        <v>8.8753385671634266E-2</v>
      </c>
      <c r="D287" s="8"/>
      <c r="E287" s="8">
        <v>1.2017663834951458</v>
      </c>
      <c r="F287">
        <f t="shared" si="13"/>
        <v>1.2017663834951458</v>
      </c>
      <c r="G287">
        <f t="shared" si="12"/>
        <v>0.20176638349514575</v>
      </c>
    </row>
    <row r="288" spans="1:7" x14ac:dyDescent="0.3">
      <c r="A288" s="4" t="s">
        <v>285</v>
      </c>
      <c r="B288" s="5">
        <v>76677.53</v>
      </c>
      <c r="C288" s="8">
        <f t="shared" si="14"/>
        <v>-3.2099165316425982E-2</v>
      </c>
      <c r="D288" s="8"/>
      <c r="E288" s="8">
        <v>1.0824800716594398</v>
      </c>
      <c r="F288">
        <f t="shared" si="13"/>
        <v>1.0824800716594398</v>
      </c>
      <c r="G288">
        <f t="shared" si="12"/>
        <v>8.2480071659439824E-2</v>
      </c>
    </row>
    <row r="289" spans="1:7" x14ac:dyDescent="0.3">
      <c r="A289" s="4" t="s">
        <v>286</v>
      </c>
      <c r="B289" s="5">
        <v>79342.429999999993</v>
      </c>
      <c r="C289" s="8">
        <f t="shared" si="14"/>
        <v>3.4754640635920264E-2</v>
      </c>
      <c r="D289" s="8"/>
      <c r="E289" s="8">
        <v>1.0679590989845547</v>
      </c>
      <c r="F289">
        <f t="shared" si="13"/>
        <v>1.0679590989845547</v>
      </c>
      <c r="G289">
        <f t="shared" si="12"/>
        <v>6.7959098984554656E-2</v>
      </c>
    </row>
    <row r="290" spans="1:7" x14ac:dyDescent="0.3">
      <c r="A290" s="4" t="s">
        <v>287</v>
      </c>
      <c r="B290" s="5">
        <v>87423.55</v>
      </c>
      <c r="C290" s="8">
        <f t="shared" si="14"/>
        <v>0.10185117849302072</v>
      </c>
      <c r="D290" s="8"/>
      <c r="E290" s="8">
        <v>1.1764947719971164</v>
      </c>
      <c r="F290">
        <f t="shared" si="13"/>
        <v>1.1764947719971164</v>
      </c>
      <c r="G290">
        <f t="shared" si="12"/>
        <v>0.17649477199711638</v>
      </c>
    </row>
    <row r="291" spans="1:7" x14ac:dyDescent="0.3">
      <c r="A291" s="4" t="s">
        <v>288</v>
      </c>
      <c r="B291" s="5">
        <v>89504.03</v>
      </c>
      <c r="C291" s="8">
        <f t="shared" si="14"/>
        <v>2.3797706682009645E-2</v>
      </c>
      <c r="D291" s="8"/>
      <c r="E291" s="8">
        <v>1.2436126000212029</v>
      </c>
      <c r="F291">
        <f t="shared" si="13"/>
        <v>1.2436126000212029</v>
      </c>
      <c r="G291">
        <f t="shared" si="12"/>
        <v>0.24361260002120289</v>
      </c>
    </row>
    <row r="292" spans="1:7" x14ac:dyDescent="0.3">
      <c r="A292" s="4" t="s">
        <v>289</v>
      </c>
      <c r="B292" s="5">
        <v>87887.27</v>
      </c>
      <c r="C292" s="8">
        <f t="shared" si="14"/>
        <v>-1.8063544177843061E-2</v>
      </c>
      <c r="D292" s="8"/>
      <c r="E292" s="8">
        <v>1.1503256194072204</v>
      </c>
      <c r="F292">
        <f t="shared" si="13"/>
        <v>1.1503256194072204</v>
      </c>
      <c r="G292">
        <f t="shared" si="12"/>
        <v>0.15032561940722045</v>
      </c>
    </row>
    <row r="293" spans="1:7" x14ac:dyDescent="0.3">
      <c r="A293" s="4" t="s">
        <v>290</v>
      </c>
      <c r="B293" s="5">
        <v>97393.75</v>
      </c>
      <c r="C293" s="8">
        <f t="shared" si="14"/>
        <v>0.10816674587798669</v>
      </c>
      <c r="D293" s="8"/>
      <c r="E293" s="8">
        <v>1.1469868464905721</v>
      </c>
      <c r="F293">
        <f t="shared" si="13"/>
        <v>1.1469868464905721</v>
      </c>
      <c r="G293">
        <f t="shared" si="12"/>
        <v>0.14698684649057214</v>
      </c>
    </row>
    <row r="294" spans="1:7" x14ac:dyDescent="0.3">
      <c r="A294" s="4" t="s">
        <v>291</v>
      </c>
      <c r="B294" s="5">
        <v>95584.35</v>
      </c>
      <c r="C294" s="8">
        <f t="shared" si="14"/>
        <v>-1.8578194185971841E-2</v>
      </c>
      <c r="D294" s="8"/>
      <c r="E294" s="8">
        <v>1.1198631340681588</v>
      </c>
      <c r="F294">
        <f t="shared" si="13"/>
        <v>1.1198631340681588</v>
      </c>
      <c r="G294">
        <f t="shared" si="12"/>
        <v>0.11986313406815885</v>
      </c>
    </row>
    <row r="295" spans="1:7" x14ac:dyDescent="0.3">
      <c r="A295" s="4" t="s">
        <v>292</v>
      </c>
      <c r="B295" s="5">
        <v>95414.56</v>
      </c>
      <c r="C295" s="8">
        <f t="shared" si="14"/>
        <v>-1.7763368166442417E-3</v>
      </c>
      <c r="D295" s="8"/>
      <c r="E295" s="8">
        <v>1.1177172620902387</v>
      </c>
      <c r="F295">
        <f t="shared" si="13"/>
        <v>1.1177172620902387</v>
      </c>
      <c r="G295">
        <f t="shared" si="12"/>
        <v>0.11771726209023869</v>
      </c>
    </row>
    <row r="296" spans="1:7" x14ac:dyDescent="0.3">
      <c r="A296" s="4" t="s">
        <v>293</v>
      </c>
      <c r="B296" s="5">
        <v>96353.33</v>
      </c>
      <c r="C296" s="8">
        <f t="shared" si="14"/>
        <v>9.8388547827501505E-3</v>
      </c>
      <c r="D296" s="8"/>
      <c r="E296" s="8">
        <v>1.1188848697388971</v>
      </c>
      <c r="F296">
        <f t="shared" si="13"/>
        <v>1.1188848697388971</v>
      </c>
      <c r="G296">
        <f t="shared" si="12"/>
        <v>0.11888486973889711</v>
      </c>
    </row>
    <row r="297" spans="1:7" x14ac:dyDescent="0.3">
      <c r="A297" s="4" t="s">
        <v>294</v>
      </c>
      <c r="B297" s="5">
        <v>97030.32</v>
      </c>
      <c r="C297" s="8">
        <f t="shared" si="14"/>
        <v>7.0261193878822237E-3</v>
      </c>
      <c r="D297" s="8"/>
      <c r="E297" s="8">
        <v>1.2641792353480183</v>
      </c>
      <c r="F297">
        <f t="shared" si="13"/>
        <v>1.2641792353480183</v>
      </c>
      <c r="G297">
        <f t="shared" si="12"/>
        <v>0.26417923534801835</v>
      </c>
    </row>
    <row r="298" spans="1:7" x14ac:dyDescent="0.3">
      <c r="A298" s="4" t="s">
        <v>295</v>
      </c>
      <c r="B298" s="5">
        <v>100967.2</v>
      </c>
      <c r="C298" s="8">
        <f t="shared" si="14"/>
        <v>4.0573709331268804E-2</v>
      </c>
      <c r="D298" s="8"/>
      <c r="E298" s="8">
        <v>1.3876264868231611</v>
      </c>
      <c r="F298">
        <f t="shared" si="13"/>
        <v>1.3876264868231611</v>
      </c>
      <c r="G298">
        <f t="shared" si="12"/>
        <v>0.38762648682316114</v>
      </c>
    </row>
    <row r="299" spans="1:7" x14ac:dyDescent="0.3">
      <c r="A299" s="4" t="s">
        <v>296</v>
      </c>
      <c r="B299" s="5">
        <v>101812.13</v>
      </c>
      <c r="C299" s="8">
        <f t="shared" si="14"/>
        <v>8.3683612103733207E-3</v>
      </c>
      <c r="D299" s="8"/>
      <c r="E299" s="8">
        <v>1.2851750129133339</v>
      </c>
      <c r="F299">
        <f t="shared" si="13"/>
        <v>1.2851750129133339</v>
      </c>
      <c r="G299">
        <f t="shared" si="12"/>
        <v>0.28517501291333391</v>
      </c>
    </row>
    <row r="300" spans="1:7" x14ac:dyDescent="0.3">
      <c r="A300" s="4" t="s">
        <v>297</v>
      </c>
      <c r="B300" s="5">
        <v>101134.61</v>
      </c>
      <c r="C300" s="8">
        <f t="shared" si="14"/>
        <v>-6.6546098190854996E-3</v>
      </c>
      <c r="D300" s="8"/>
      <c r="E300" s="8">
        <v>1.3189601960313537</v>
      </c>
      <c r="F300">
        <f t="shared" si="13"/>
        <v>1.3189601960313537</v>
      </c>
      <c r="G300">
        <f t="shared" si="12"/>
        <v>0.31896019603135373</v>
      </c>
    </row>
    <row r="301" spans="1:7" x14ac:dyDescent="0.3">
      <c r="A301" s="4" t="s">
        <v>298</v>
      </c>
      <c r="B301" s="5">
        <v>104745.32</v>
      </c>
      <c r="C301" s="8">
        <f t="shared" si="14"/>
        <v>3.5702021296171615E-2</v>
      </c>
      <c r="D301" s="8"/>
      <c r="E301" s="8">
        <v>1.3201677841225687</v>
      </c>
      <c r="F301">
        <f t="shared" si="13"/>
        <v>1.3201677841225687</v>
      </c>
      <c r="G301">
        <f t="shared" si="12"/>
        <v>0.32016778412256874</v>
      </c>
    </row>
    <row r="302" spans="1:7" x14ac:dyDescent="0.3">
      <c r="A302" s="4" t="s">
        <v>299</v>
      </c>
      <c r="B302" s="5">
        <v>107219.83</v>
      </c>
      <c r="C302" s="8">
        <f t="shared" si="14"/>
        <v>2.3624062631151466E-2</v>
      </c>
      <c r="D302" s="8"/>
      <c r="E302" s="8">
        <v>1.2264410447756926</v>
      </c>
      <c r="F302">
        <f t="shared" si="13"/>
        <v>1.2264410447756926</v>
      </c>
      <c r="G302">
        <f t="shared" si="12"/>
        <v>0.2264410447756926</v>
      </c>
    </row>
    <row r="303" spans="1:7" x14ac:dyDescent="0.3">
      <c r="A303" s="4" t="s">
        <v>300</v>
      </c>
      <c r="B303" s="5">
        <v>108233.28</v>
      </c>
      <c r="C303" s="8">
        <f t="shared" si="14"/>
        <v>9.452076169119028E-3</v>
      </c>
      <c r="D303" s="8"/>
      <c r="E303" s="8">
        <v>1.2092559407660191</v>
      </c>
      <c r="F303">
        <f t="shared" si="13"/>
        <v>1.2092559407660191</v>
      </c>
      <c r="G303">
        <f t="shared" si="12"/>
        <v>0.20925594076601906</v>
      </c>
    </row>
    <row r="304" spans="1:7" x14ac:dyDescent="0.3">
      <c r="A304" s="4" t="s">
        <v>301</v>
      </c>
      <c r="B304" s="5">
        <v>115645.34</v>
      </c>
      <c r="C304" s="8">
        <f t="shared" si="14"/>
        <v>6.8482263496033813E-2</v>
      </c>
      <c r="D304" s="8"/>
      <c r="E304" s="8">
        <v>1.3158372082782863</v>
      </c>
      <c r="F304">
        <f t="shared" si="13"/>
        <v>1.3158372082782863</v>
      </c>
      <c r="G304">
        <f t="shared" si="12"/>
        <v>0.31583720827828632</v>
      </c>
    </row>
    <row r="305" spans="1:7" x14ac:dyDescent="0.3">
      <c r="A305" s="4" t="s">
        <v>302</v>
      </c>
      <c r="B305" s="5">
        <v>113760.57</v>
      </c>
      <c r="C305" s="8">
        <f t="shared" si="14"/>
        <v>-1.6297846502072555E-2</v>
      </c>
      <c r="D305" s="8"/>
      <c r="E305" s="8">
        <v>1.1680479496887635</v>
      </c>
      <c r="F305">
        <f t="shared" si="13"/>
        <v>1.1680479496887635</v>
      </c>
      <c r="G305">
        <f t="shared" si="12"/>
        <v>0.16804794968876346</v>
      </c>
    </row>
    <row r="306" spans="1:7" x14ac:dyDescent="0.3">
      <c r="A306" s="4" t="s">
        <v>303</v>
      </c>
      <c r="B306" s="5">
        <v>104171.57</v>
      </c>
      <c r="C306" s="8">
        <f t="shared" si="14"/>
        <v>-8.429106851345769E-2</v>
      </c>
      <c r="D306" s="8"/>
      <c r="E306" s="8">
        <v>1.0898391839249835</v>
      </c>
      <c r="F306">
        <f t="shared" si="13"/>
        <v>1.0898391839249835</v>
      </c>
      <c r="G306">
        <f t="shared" si="12"/>
        <v>8.9839183924983468E-2</v>
      </c>
    </row>
    <row r="307" spans="1:7" x14ac:dyDescent="0.3">
      <c r="A307" s="4" t="s">
        <v>304</v>
      </c>
      <c r="B307" s="5">
        <v>73019.759999999995</v>
      </c>
      <c r="C307" s="8">
        <f t="shared" si="14"/>
        <v>-0.29904329943380914</v>
      </c>
      <c r="D307" s="8"/>
      <c r="E307" s="8">
        <v>0.76528949040901095</v>
      </c>
      <c r="F307">
        <f t="shared" si="13"/>
        <v>0.76528949040901095</v>
      </c>
      <c r="G307">
        <f t="shared" si="12"/>
        <v>-0.23471050959098905</v>
      </c>
    </row>
    <row r="308" spans="1:7" x14ac:dyDescent="0.3">
      <c r="A308" s="4" t="s">
        <v>305</v>
      </c>
      <c r="B308" s="5">
        <v>80505.89</v>
      </c>
      <c r="C308" s="8">
        <f t="shared" si="14"/>
        <v>0.10252197487365078</v>
      </c>
      <c r="D308" s="8"/>
      <c r="E308" s="8">
        <v>0.83552784319960705</v>
      </c>
      <c r="F308">
        <f t="shared" si="13"/>
        <v>0.83552784319960705</v>
      </c>
      <c r="G308">
        <f t="shared" si="12"/>
        <v>-0.16447215680039295</v>
      </c>
    </row>
    <row r="309" spans="1:7" x14ac:dyDescent="0.3">
      <c r="A309" s="4" t="s">
        <v>306</v>
      </c>
      <c r="B309" s="5">
        <v>87402.59</v>
      </c>
      <c r="C309" s="8">
        <f t="shared" si="14"/>
        <v>8.5667023866204062E-2</v>
      </c>
      <c r="D309" s="8"/>
      <c r="E309" s="8">
        <v>0.90077606669750232</v>
      </c>
      <c r="F309">
        <f t="shared" si="13"/>
        <v>0.90077606669750232</v>
      </c>
      <c r="G309">
        <f t="shared" si="12"/>
        <v>-9.922393330249768E-2</v>
      </c>
    </row>
    <row r="310" spans="1:7" x14ac:dyDescent="0.3">
      <c r="A310" s="4" t="s">
        <v>307</v>
      </c>
      <c r="B310" s="5">
        <v>95055.82</v>
      </c>
      <c r="C310" s="8">
        <f t="shared" si="14"/>
        <v>8.7562965811425197E-2</v>
      </c>
      <c r="D310" s="8"/>
      <c r="E310" s="8">
        <v>0.94145247169377788</v>
      </c>
      <c r="F310">
        <f t="shared" si="13"/>
        <v>0.94145247169377788</v>
      </c>
      <c r="G310">
        <f t="shared" si="12"/>
        <v>-5.8547528306222119E-2</v>
      </c>
    </row>
    <row r="311" spans="1:7" x14ac:dyDescent="0.3">
      <c r="A311" s="4" t="s">
        <v>308</v>
      </c>
      <c r="B311" s="5">
        <v>102912.24</v>
      </c>
      <c r="C311" s="8">
        <f t="shared" si="14"/>
        <v>8.2650594145629253E-2</v>
      </c>
      <c r="D311" s="8"/>
      <c r="E311" s="8">
        <v>1.010805294025378</v>
      </c>
      <c r="F311">
        <f t="shared" si="13"/>
        <v>1.010805294025378</v>
      </c>
      <c r="G311">
        <f t="shared" si="12"/>
        <v>1.0805294025377998E-2</v>
      </c>
    </row>
    <row r="312" spans="1:7" x14ac:dyDescent="0.3">
      <c r="A312" s="4" t="s">
        <v>309</v>
      </c>
      <c r="B312" s="5">
        <v>99369.15</v>
      </c>
      <c r="C312" s="8">
        <f t="shared" si="14"/>
        <v>-3.4428266258707541E-2</v>
      </c>
      <c r="D312" s="8"/>
      <c r="E312" s="8">
        <v>0.98254346360756217</v>
      </c>
      <c r="F312">
        <f t="shared" si="13"/>
        <v>0.98254346360756217</v>
      </c>
      <c r="G312">
        <f t="shared" si="12"/>
        <v>-1.7456536392437827E-2</v>
      </c>
    </row>
    <row r="313" spans="1:7" x14ac:dyDescent="0.3">
      <c r="A313" s="4" t="s">
        <v>310</v>
      </c>
      <c r="B313" s="5">
        <v>94603.38</v>
      </c>
      <c r="C313" s="8">
        <f t="shared" si="14"/>
        <v>-4.7960257283070185E-2</v>
      </c>
      <c r="D313" s="8"/>
      <c r="E313" s="8">
        <v>0.90317524448825015</v>
      </c>
      <c r="F313">
        <f t="shared" si="13"/>
        <v>0.90317524448825015</v>
      </c>
      <c r="G313">
        <f t="shared" si="12"/>
        <v>-9.6824755511749849E-2</v>
      </c>
    </row>
    <row r="314" spans="1:7" x14ac:dyDescent="0.3">
      <c r="A314" s="4" t="s">
        <v>311</v>
      </c>
      <c r="B314" s="5">
        <v>93952.4</v>
      </c>
      <c r="C314" s="8">
        <f t="shared" si="14"/>
        <v>-6.881149489584959E-3</v>
      </c>
      <c r="D314" s="8"/>
      <c r="E314" s="8">
        <v>0.87625955012239798</v>
      </c>
      <c r="F314">
        <f t="shared" si="13"/>
        <v>0.87625955012239798</v>
      </c>
      <c r="G314">
        <f t="shared" si="12"/>
        <v>-0.12374044987760202</v>
      </c>
    </row>
    <row r="315" spans="1:7" x14ac:dyDescent="0.3">
      <c r="A315" s="4" t="s">
        <v>312</v>
      </c>
      <c r="B315" s="5">
        <v>108893.32</v>
      </c>
      <c r="C315" s="8">
        <f t="shared" si="14"/>
        <v>0.15902648575235978</v>
      </c>
      <c r="D315" s="8"/>
      <c r="E315" s="8">
        <v>1.0060983091337528</v>
      </c>
      <c r="F315">
        <f t="shared" si="13"/>
        <v>1.0060983091337528</v>
      </c>
      <c r="G315">
        <f t="shared" si="12"/>
        <v>6.0983091337527551E-3</v>
      </c>
    </row>
    <row r="316" spans="1:7" x14ac:dyDescent="0.3">
      <c r="A316" s="4" t="s">
        <v>313</v>
      </c>
      <c r="B316" s="5">
        <v>119017.24</v>
      </c>
      <c r="C316" s="8">
        <f t="shared" si="14"/>
        <v>9.2970992160033239E-2</v>
      </c>
      <c r="D316" s="8"/>
      <c r="E316" s="8">
        <v>1.0291572492242231</v>
      </c>
      <c r="F316">
        <f t="shared" si="13"/>
        <v>1.0291572492242231</v>
      </c>
      <c r="G316">
        <f t="shared" si="12"/>
        <v>2.9157249224223136E-2</v>
      </c>
    </row>
    <row r="317" spans="1:7" x14ac:dyDescent="0.3">
      <c r="A317" s="4" t="s">
        <v>314</v>
      </c>
      <c r="B317" s="5">
        <v>115067.55</v>
      </c>
      <c r="C317" s="8">
        <f t="shared" si="14"/>
        <v>-3.3185864501646956E-2</v>
      </c>
      <c r="D317" s="8"/>
      <c r="E317" s="8">
        <v>1.0114888664851098</v>
      </c>
      <c r="F317">
        <f t="shared" si="13"/>
        <v>1.0114888664851098</v>
      </c>
      <c r="G317">
        <f t="shared" si="12"/>
        <v>1.1488866485109828E-2</v>
      </c>
    </row>
    <row r="318" spans="1:7" x14ac:dyDescent="0.3">
      <c r="A318" s="4" t="s">
        <v>315</v>
      </c>
      <c r="B318" s="5">
        <v>110035.17</v>
      </c>
      <c r="C318" s="8">
        <f t="shared" si="14"/>
        <v>-4.3734137035158938E-2</v>
      </c>
      <c r="D318" s="8"/>
      <c r="E318" s="8">
        <v>1.0562879104154808</v>
      </c>
      <c r="F318">
        <f t="shared" si="13"/>
        <v>1.0562879104154808</v>
      </c>
      <c r="G318">
        <f t="shared" si="12"/>
        <v>5.6287910415480757E-2</v>
      </c>
    </row>
    <row r="319" spans="1:7" x14ac:dyDescent="0.3">
      <c r="A319" s="4" t="s">
        <v>316</v>
      </c>
      <c r="B319" s="5">
        <v>116633.72</v>
      </c>
      <c r="C319" s="8">
        <f t="shared" si="14"/>
        <v>5.9967644890265515E-2</v>
      </c>
      <c r="D319" s="8"/>
      <c r="E319" s="8">
        <v>1.5972898294927291</v>
      </c>
      <c r="F319">
        <f t="shared" si="13"/>
        <v>1.5972898294927291</v>
      </c>
      <c r="G319">
        <f t="shared" si="12"/>
        <v>0.59728982949272913</v>
      </c>
    </row>
    <row r="320" spans="1:7" x14ac:dyDescent="0.3">
      <c r="A320" s="4" t="s">
        <v>317</v>
      </c>
      <c r="B320" s="5">
        <v>118893.84</v>
      </c>
      <c r="C320" s="8">
        <f t="shared" si="14"/>
        <v>1.9377929470139499E-2</v>
      </c>
      <c r="D320" s="8"/>
      <c r="E320" s="8">
        <v>1.4768340552473862</v>
      </c>
      <c r="F320">
        <f t="shared" si="13"/>
        <v>1.4768340552473862</v>
      </c>
      <c r="G320">
        <f t="shared" si="12"/>
        <v>0.4768340552473862</v>
      </c>
    </row>
    <row r="321" spans="1:7" x14ac:dyDescent="0.3">
      <c r="A321" s="4" t="s">
        <v>318</v>
      </c>
      <c r="B321" s="5">
        <v>126215.73</v>
      </c>
      <c r="C321" s="8">
        <f t="shared" si="14"/>
        <v>6.1583426021062149E-2</v>
      </c>
      <c r="D321" s="8"/>
      <c r="E321" s="8">
        <v>1.4440731104192679</v>
      </c>
      <c r="F321">
        <f t="shared" si="13"/>
        <v>1.4440731104192679</v>
      </c>
      <c r="G321">
        <f t="shared" si="12"/>
        <v>0.44407311041926789</v>
      </c>
    </row>
    <row r="322" spans="1:7" x14ac:dyDescent="0.3">
      <c r="A322" s="4" t="s">
        <v>319</v>
      </c>
      <c r="B322" s="5">
        <v>126801.66</v>
      </c>
      <c r="C322" s="8">
        <f t="shared" si="14"/>
        <v>4.6422898318616568E-3</v>
      </c>
      <c r="D322" s="8"/>
      <c r="E322" s="8">
        <v>1.3339705028056146</v>
      </c>
      <c r="F322">
        <f t="shared" si="13"/>
        <v>1.3339705028056146</v>
      </c>
      <c r="G322">
        <f t="shared" si="12"/>
        <v>0.33397050280561458</v>
      </c>
    </row>
    <row r="323" spans="1:7" x14ac:dyDescent="0.3">
      <c r="A323" s="4" t="s">
        <v>320</v>
      </c>
      <c r="B323" s="5">
        <v>121800.79</v>
      </c>
      <c r="C323" s="8">
        <f t="shared" si="14"/>
        <v>-3.9438521546169114E-2</v>
      </c>
      <c r="D323" s="8"/>
      <c r="E323" s="8">
        <v>1.1835403641005189</v>
      </c>
      <c r="F323">
        <f t="shared" si="13"/>
        <v>1.1835403641005189</v>
      </c>
      <c r="G323">
        <f t="shared" si="12"/>
        <v>0.18354036410051888</v>
      </c>
    </row>
    <row r="324" spans="1:7" x14ac:dyDescent="0.3">
      <c r="A324" s="4" t="s">
        <v>321</v>
      </c>
      <c r="B324" s="5">
        <v>118781.03</v>
      </c>
      <c r="C324" s="8">
        <f t="shared" si="14"/>
        <v>-2.4792614235096488E-2</v>
      </c>
      <c r="D324" s="8"/>
      <c r="E324" s="8">
        <v>1.1953511728740762</v>
      </c>
      <c r="F324">
        <f t="shared" si="13"/>
        <v>1.1953511728740762</v>
      </c>
      <c r="G324">
        <f t="shared" si="12"/>
        <v>0.19535117287407622</v>
      </c>
    </row>
    <row r="325" spans="1:7" x14ac:dyDescent="0.3">
      <c r="A325" s="4" t="s">
        <v>322</v>
      </c>
      <c r="B325" s="5">
        <v>110979.1</v>
      </c>
      <c r="C325" s="8">
        <f t="shared" si="14"/>
        <v>-6.5683299765964209E-2</v>
      </c>
      <c r="D325" s="8"/>
      <c r="E325" s="8">
        <v>1.1730986778696491</v>
      </c>
      <c r="F325">
        <f t="shared" si="13"/>
        <v>1.1730986778696491</v>
      </c>
      <c r="G325">
        <f t="shared" si="12"/>
        <v>0.17309867786964905</v>
      </c>
    </row>
    <row r="326" spans="1:7" x14ac:dyDescent="0.3">
      <c r="A326" s="4" t="s">
        <v>323</v>
      </c>
      <c r="B326" s="5">
        <v>103500.71</v>
      </c>
      <c r="C326" s="8">
        <f t="shared" si="14"/>
        <v>-6.7385570796663519E-2</v>
      </c>
      <c r="D326" s="8"/>
      <c r="E326" s="8">
        <v>1.1016292292692897</v>
      </c>
      <c r="F326">
        <f t="shared" si="13"/>
        <v>1.1016292292692897</v>
      </c>
      <c r="G326">
        <f t="shared" si="12"/>
        <v>0.10162922926928974</v>
      </c>
    </row>
    <row r="327" spans="1:7" x14ac:dyDescent="0.3">
      <c r="A327" s="4" t="s">
        <v>324</v>
      </c>
      <c r="B327" s="5">
        <v>101915.45</v>
      </c>
      <c r="C327" s="8">
        <f t="shared" si="14"/>
        <v>-1.5316416669992061E-2</v>
      </c>
      <c r="D327" s="8"/>
      <c r="E327" s="8">
        <v>0.93592012806662517</v>
      </c>
      <c r="F327">
        <f t="shared" si="13"/>
        <v>0.93592012806662517</v>
      </c>
      <c r="G327">
        <f t="shared" si="12"/>
        <v>-6.4079871933374832E-2</v>
      </c>
    </row>
    <row r="328" spans="1:7" x14ac:dyDescent="0.3">
      <c r="A328" s="4" t="s">
        <v>325</v>
      </c>
      <c r="B328" s="5">
        <v>104822.44</v>
      </c>
      <c r="C328" s="8">
        <f t="shared" si="14"/>
        <v>2.8523545743064593E-2</v>
      </c>
      <c r="D328" s="8"/>
      <c r="E328" s="8">
        <v>0.88073324503240036</v>
      </c>
      <c r="F328">
        <f t="shared" si="13"/>
        <v>0.88073324503240036</v>
      </c>
      <c r="G328">
        <f t="shared" ref="G328:G354" si="15">F328-1</f>
        <v>-0.11926675496759964</v>
      </c>
    </row>
    <row r="329" spans="1:7" x14ac:dyDescent="0.3">
      <c r="A329" s="4" t="s">
        <v>326</v>
      </c>
      <c r="B329" s="5">
        <v>112143.51</v>
      </c>
      <c r="C329" s="8">
        <f t="shared" si="14"/>
        <v>6.9842583324715601E-2</v>
      </c>
      <c r="D329" s="8"/>
      <c r="E329" s="8">
        <v>0.9745884917163874</v>
      </c>
      <c r="F329">
        <f t="shared" si="13"/>
        <v>0.9745884917163874</v>
      </c>
      <c r="G329">
        <f t="shared" si="15"/>
        <v>-2.5411508283612605E-2</v>
      </c>
    </row>
    <row r="330" spans="1:7" x14ac:dyDescent="0.3">
      <c r="A330" s="4" t="s">
        <v>327</v>
      </c>
      <c r="B330" s="5">
        <v>113141.94</v>
      </c>
      <c r="C330" s="8">
        <f t="shared" si="14"/>
        <v>8.9031456211778881E-3</v>
      </c>
      <c r="D330" s="8"/>
      <c r="E330" s="8">
        <v>1.0282343363490056</v>
      </c>
      <c r="F330">
        <f t="shared" si="13"/>
        <v>1.0282343363490056</v>
      </c>
      <c r="G330">
        <f t="shared" si="15"/>
        <v>2.8234336349005629E-2</v>
      </c>
    </row>
    <row r="331" spans="1:7" x14ac:dyDescent="0.3">
      <c r="A331" s="4" t="s">
        <v>328</v>
      </c>
      <c r="B331" s="5">
        <v>119999.23</v>
      </c>
      <c r="C331" s="8">
        <f t="shared" si="14"/>
        <v>6.0607852402035922E-2</v>
      </c>
      <c r="D331" s="8"/>
      <c r="E331" s="8">
        <v>1.0288553773299864</v>
      </c>
      <c r="F331">
        <f t="shared" si="13"/>
        <v>1.0288553773299864</v>
      </c>
      <c r="G331">
        <f t="shared" si="15"/>
        <v>2.8855377329986442E-2</v>
      </c>
    </row>
    <row r="332" spans="1:7" x14ac:dyDescent="0.3">
      <c r="A332" s="4" t="s">
        <v>329</v>
      </c>
      <c r="B332" s="5">
        <v>107876.16</v>
      </c>
      <c r="C332" s="8">
        <f t="shared" si="14"/>
        <v>-0.10102623158498591</v>
      </c>
      <c r="D332" s="8"/>
      <c r="E332" s="8">
        <v>0.90733178438849316</v>
      </c>
      <c r="F332">
        <f t="shared" si="13"/>
        <v>0.90733178438849316</v>
      </c>
      <c r="G332">
        <f t="shared" si="15"/>
        <v>-9.2668215611506843E-2</v>
      </c>
    </row>
    <row r="333" spans="1:7" x14ac:dyDescent="0.3">
      <c r="A333" s="4" t="s">
        <v>330</v>
      </c>
      <c r="B333" s="5">
        <v>111350.51</v>
      </c>
      <c r="C333" s="8">
        <f t="shared" si="14"/>
        <v>3.2206837914882991E-2</v>
      </c>
      <c r="D333" s="8"/>
      <c r="E333" s="8">
        <v>0.88222371332004335</v>
      </c>
      <c r="F333">
        <f t="shared" ref="F333:F354" si="16">B333/B321</f>
        <v>0.88222371332004335</v>
      </c>
      <c r="G333">
        <f t="shared" si="15"/>
        <v>-0.11777628667995665</v>
      </c>
    </row>
    <row r="334" spans="1:7" x14ac:dyDescent="0.3">
      <c r="A334" s="4" t="s">
        <v>331</v>
      </c>
      <c r="B334" s="5">
        <v>98541.95</v>
      </c>
      <c r="C334" s="8">
        <f t="shared" si="14"/>
        <v>-0.11502919923761457</v>
      </c>
      <c r="D334" s="8"/>
      <c r="E334" s="8">
        <v>0.7771345422449516</v>
      </c>
      <c r="F334">
        <f t="shared" si="16"/>
        <v>0.7771345422449516</v>
      </c>
      <c r="G334">
        <f t="shared" si="15"/>
        <v>-0.2228654577550484</v>
      </c>
    </row>
    <row r="335" spans="1:7" x14ac:dyDescent="0.3">
      <c r="A335" s="4" t="s">
        <v>332</v>
      </c>
      <c r="B335" s="5">
        <v>103164.69</v>
      </c>
      <c r="C335" s="8">
        <f t="shared" si="14"/>
        <v>4.6911391544413483E-2</v>
      </c>
      <c r="D335" s="8"/>
      <c r="E335" s="8">
        <v>0.84699524526893466</v>
      </c>
      <c r="F335">
        <f t="shared" si="16"/>
        <v>0.84699524526893466</v>
      </c>
      <c r="G335">
        <f t="shared" si="15"/>
        <v>-0.15300475473106534</v>
      </c>
    </row>
    <row r="336" spans="1:7" x14ac:dyDescent="0.3">
      <c r="A336" s="4" t="s">
        <v>333</v>
      </c>
      <c r="B336" s="5">
        <v>109522.88</v>
      </c>
      <c r="C336" s="8">
        <f t="shared" si="14"/>
        <v>6.1631455491215181E-2</v>
      </c>
      <c r="D336" s="8"/>
      <c r="E336" s="8">
        <v>0.92205699849546685</v>
      </c>
      <c r="F336">
        <f t="shared" si="16"/>
        <v>0.92205699849546685</v>
      </c>
      <c r="G336">
        <f t="shared" si="15"/>
        <v>-7.7943001504533149E-2</v>
      </c>
    </row>
    <row r="337" spans="1:7" x14ac:dyDescent="0.3">
      <c r="A337" s="4" t="s">
        <v>334</v>
      </c>
      <c r="B337" s="5">
        <v>110036.79</v>
      </c>
      <c r="C337" s="8">
        <f t="shared" si="14"/>
        <v>4.6922615621503017E-3</v>
      </c>
      <c r="D337" s="8"/>
      <c r="E337" s="8">
        <v>0.99150912198783359</v>
      </c>
      <c r="F337">
        <f t="shared" si="16"/>
        <v>0.99150912198783359</v>
      </c>
      <c r="G337">
        <f t="shared" si="15"/>
        <v>-8.490878012166414E-3</v>
      </c>
    </row>
    <row r="338" spans="1:7" x14ac:dyDescent="0.3">
      <c r="A338" s="4" t="s">
        <v>335</v>
      </c>
      <c r="B338" s="5">
        <v>116037.08</v>
      </c>
      <c r="C338" s="8">
        <f t="shared" si="14"/>
        <v>5.4529853151841445E-2</v>
      </c>
      <c r="D338" s="8"/>
      <c r="E338" s="8">
        <v>1.1211235169304634</v>
      </c>
      <c r="F338">
        <f t="shared" si="16"/>
        <v>1.1211235169304634</v>
      </c>
      <c r="G338">
        <f t="shared" si="15"/>
        <v>0.12112351693046342</v>
      </c>
    </row>
    <row r="339" spans="1:7" x14ac:dyDescent="0.3">
      <c r="A339" s="4" t="s">
        <v>336</v>
      </c>
      <c r="B339" s="5">
        <v>112486.01</v>
      </c>
      <c r="C339" s="8">
        <f t="shared" si="14"/>
        <v>-3.060289004170047E-2</v>
      </c>
      <c r="D339" s="8"/>
      <c r="E339" s="8">
        <v>1.1037189160230367</v>
      </c>
      <c r="F339">
        <f t="shared" si="16"/>
        <v>1.1037189160230367</v>
      </c>
      <c r="G339">
        <f t="shared" si="15"/>
        <v>0.10371891602303673</v>
      </c>
    </row>
    <row r="340" spans="1:7" x14ac:dyDescent="0.3">
      <c r="A340" s="4" t="s">
        <v>337</v>
      </c>
      <c r="B340" s="5">
        <v>109734.6</v>
      </c>
      <c r="C340" s="8">
        <f t="shared" si="14"/>
        <v>-2.4460019517093645E-2</v>
      </c>
      <c r="D340" s="8"/>
      <c r="E340" s="8">
        <v>1.0468617215932008</v>
      </c>
      <c r="F340">
        <f t="shared" si="16"/>
        <v>1.0468617215932008</v>
      </c>
      <c r="G340">
        <f t="shared" si="15"/>
        <v>4.6861721593200789E-2</v>
      </c>
    </row>
    <row r="341" spans="1:7" x14ac:dyDescent="0.3">
      <c r="A341" s="4" t="s">
        <v>338</v>
      </c>
      <c r="B341" s="5">
        <v>113430.54</v>
      </c>
      <c r="C341" s="8">
        <f t="shared" ref="C341:C367" si="17">(B341/B340)-1</f>
        <v>3.3680716929755938E-2</v>
      </c>
      <c r="D341" s="8"/>
      <c r="E341" s="8">
        <v>1.0114766338239278</v>
      </c>
      <c r="F341">
        <f t="shared" si="16"/>
        <v>1.0114766338239278</v>
      </c>
      <c r="G341">
        <f t="shared" si="15"/>
        <v>1.1476633823927829E-2</v>
      </c>
    </row>
    <row r="342" spans="1:7" x14ac:dyDescent="0.3">
      <c r="A342" s="4" t="s">
        <v>339</v>
      </c>
      <c r="B342" s="5">
        <v>104931.93</v>
      </c>
      <c r="C342" s="8">
        <f t="shared" si="17"/>
        <v>-7.4923472990607309E-2</v>
      </c>
      <c r="D342" s="8"/>
      <c r="E342" s="8">
        <v>0.9274361920964056</v>
      </c>
      <c r="F342">
        <f t="shared" si="16"/>
        <v>0.9274361920964056</v>
      </c>
      <c r="G342">
        <f t="shared" si="15"/>
        <v>-7.2563807903594402E-2</v>
      </c>
    </row>
    <row r="343" spans="1:7" x14ac:dyDescent="0.3">
      <c r="A343" s="4" t="s">
        <v>340</v>
      </c>
      <c r="B343" s="5">
        <v>101882.2</v>
      </c>
      <c r="C343" s="8">
        <f t="shared" si="17"/>
        <v>-2.9063889323297509E-2</v>
      </c>
      <c r="D343" s="8"/>
      <c r="E343" s="8">
        <v>0.84902378123592959</v>
      </c>
      <c r="F343">
        <f t="shared" si="16"/>
        <v>0.84902378123592959</v>
      </c>
      <c r="G343">
        <f t="shared" si="15"/>
        <v>-0.15097621876407041</v>
      </c>
    </row>
    <row r="344" spans="1:7" x14ac:dyDescent="0.3">
      <c r="A344" s="4" t="s">
        <v>341</v>
      </c>
      <c r="B344" s="5">
        <v>104431.63</v>
      </c>
      <c r="C344" s="8">
        <f t="shared" si="17"/>
        <v>2.5023311235917722E-2</v>
      </c>
      <c r="D344" s="8"/>
      <c r="E344" s="8">
        <v>0.96806959016709537</v>
      </c>
      <c r="F344">
        <f t="shared" si="16"/>
        <v>0.96806959016709537</v>
      </c>
      <c r="G344">
        <f t="shared" si="15"/>
        <v>-3.1930409832904627E-2</v>
      </c>
    </row>
    <row r="345" spans="1:7" x14ac:dyDescent="0.3">
      <c r="A345" s="4" t="s">
        <v>342</v>
      </c>
      <c r="B345" s="5">
        <v>108335.07</v>
      </c>
      <c r="C345" s="8">
        <f t="shared" si="17"/>
        <v>3.7377947658195243E-2</v>
      </c>
      <c r="D345" s="8"/>
      <c r="E345" s="8">
        <v>0.97291938761663521</v>
      </c>
      <c r="F345">
        <f t="shared" si="16"/>
        <v>0.97291938761663521</v>
      </c>
      <c r="G345">
        <f t="shared" si="15"/>
        <v>-2.7080612383364788E-2</v>
      </c>
    </row>
    <row r="346" spans="1:7" x14ac:dyDescent="0.3">
      <c r="A346" s="4" t="s">
        <v>343</v>
      </c>
      <c r="B346" s="5">
        <v>118087</v>
      </c>
      <c r="C346" s="8">
        <f t="shared" si="17"/>
        <v>9.0016372352923035E-2</v>
      </c>
      <c r="D346" s="8"/>
      <c r="E346" s="8">
        <v>1.1983424318272573</v>
      </c>
      <c r="F346">
        <f t="shared" si="16"/>
        <v>1.1983424318272573</v>
      </c>
      <c r="G346">
        <f t="shared" si="15"/>
        <v>0.1983424318272573</v>
      </c>
    </row>
    <row r="347" spans="1:7" x14ac:dyDescent="0.3">
      <c r="A347" s="4" t="s">
        <v>344</v>
      </c>
      <c r="B347" s="5">
        <v>121942.98</v>
      </c>
      <c r="C347" s="8">
        <f t="shared" si="17"/>
        <v>3.2653721408791858E-2</v>
      </c>
      <c r="D347" s="8"/>
      <c r="E347" s="8">
        <v>1.1820224536127621</v>
      </c>
      <c r="F347">
        <f t="shared" si="16"/>
        <v>1.1820224536127621</v>
      </c>
      <c r="G347">
        <f t="shared" si="15"/>
        <v>0.18202245361276215</v>
      </c>
    </row>
    <row r="348" spans="1:7" x14ac:dyDescent="0.3">
      <c r="A348" s="4" t="s">
        <v>345</v>
      </c>
      <c r="B348" s="5">
        <v>115741.81</v>
      </c>
      <c r="C348" s="8">
        <f t="shared" si="17"/>
        <v>-5.0853029834107666E-2</v>
      </c>
      <c r="D348" s="8"/>
      <c r="E348" s="8">
        <v>1.0567820166891155</v>
      </c>
      <c r="F348">
        <f t="shared" si="16"/>
        <v>1.0567820166891155</v>
      </c>
      <c r="G348">
        <f t="shared" si="15"/>
        <v>5.6782016689115533E-2</v>
      </c>
    </row>
    <row r="349" spans="1:7" x14ac:dyDescent="0.3">
      <c r="A349" s="4" t="s">
        <v>346</v>
      </c>
      <c r="B349" s="5">
        <v>116565.17</v>
      </c>
      <c r="C349" s="8">
        <f t="shared" si="17"/>
        <v>7.1137646801964216E-3</v>
      </c>
      <c r="D349" s="8"/>
      <c r="E349" s="8">
        <v>1.0593290662150359</v>
      </c>
      <c r="F349">
        <f t="shared" si="16"/>
        <v>1.0593290662150359</v>
      </c>
      <c r="G349">
        <f t="shared" si="15"/>
        <v>5.9329066215035864E-2</v>
      </c>
    </row>
    <row r="350" spans="1:7" x14ac:dyDescent="0.3">
      <c r="A350" s="4" t="s">
        <v>347</v>
      </c>
      <c r="B350" s="5">
        <v>113143.67</v>
      </c>
      <c r="C350" s="8">
        <f t="shared" si="17"/>
        <v>-2.935267884909365E-2</v>
      </c>
      <c r="D350" s="8"/>
      <c r="E350" s="8">
        <v>0.97506478101655092</v>
      </c>
      <c r="F350">
        <f t="shared" si="16"/>
        <v>0.97506478101655092</v>
      </c>
      <c r="G350">
        <f t="shared" si="15"/>
        <v>-2.4935218983449081E-2</v>
      </c>
    </row>
    <row r="351" spans="1:7" x14ac:dyDescent="0.3">
      <c r="A351" s="4" t="s">
        <v>348</v>
      </c>
      <c r="B351" s="5">
        <v>127331.12</v>
      </c>
      <c r="C351" s="8">
        <f t="shared" si="17"/>
        <v>0.12539322791986507</v>
      </c>
      <c r="D351" s="8"/>
      <c r="E351" s="8">
        <v>1.1319729449022149</v>
      </c>
      <c r="F351">
        <f t="shared" si="16"/>
        <v>1.1319729449022149</v>
      </c>
      <c r="G351">
        <f t="shared" si="15"/>
        <v>0.13197294490221489</v>
      </c>
    </row>
    <row r="352" spans="1:7" x14ac:dyDescent="0.3">
      <c r="A352" s="4" t="s">
        <v>349</v>
      </c>
      <c r="B352" s="5">
        <v>134185.24</v>
      </c>
      <c r="C352" s="8">
        <f t="shared" si="17"/>
        <v>5.3829103207448492E-2</v>
      </c>
      <c r="D352" s="8"/>
      <c r="E352" s="8">
        <v>1.2228161400324054</v>
      </c>
      <c r="F352">
        <f t="shared" si="16"/>
        <v>1.2228161400324054</v>
      </c>
      <c r="G352">
        <f t="shared" si="15"/>
        <v>0.22281614003240535</v>
      </c>
    </row>
    <row r="353" spans="1:7" x14ac:dyDescent="0.3">
      <c r="A353" s="4" t="s">
        <v>350</v>
      </c>
      <c r="B353" s="5">
        <v>127752.28</v>
      </c>
      <c r="C353" s="8">
        <f t="shared" si="17"/>
        <v>-4.7940891263450358E-2</v>
      </c>
      <c r="D353" s="8"/>
      <c r="E353" s="8">
        <v>1.1262600001727929</v>
      </c>
      <c r="F353">
        <f t="shared" si="16"/>
        <v>1.1262600001727929</v>
      </c>
      <c r="G353">
        <f t="shared" si="15"/>
        <v>0.12626000017279293</v>
      </c>
    </row>
    <row r="354" spans="1:7" x14ac:dyDescent="0.3">
      <c r="A354" s="4" t="s">
        <v>351</v>
      </c>
      <c r="B354" s="5">
        <v>129020.02</v>
      </c>
      <c r="C354" s="8">
        <f t="shared" si="17"/>
        <v>9.9234236758827254E-3</v>
      </c>
      <c r="D354" s="8"/>
      <c r="E354" s="8">
        <v>1.2295592009029093</v>
      </c>
      <c r="F354">
        <f t="shared" si="16"/>
        <v>1.2295592009029093</v>
      </c>
      <c r="G354">
        <f t="shared" si="15"/>
        <v>0.22955920090290927</v>
      </c>
    </row>
    <row r="355" spans="1:7" x14ac:dyDescent="0.3">
      <c r="A355" s="4" t="s">
        <v>352</v>
      </c>
      <c r="B355" s="5">
        <v>128106.1</v>
      </c>
      <c r="C355" s="8">
        <f t="shared" si="17"/>
        <v>-7.0835518394741781E-3</v>
      </c>
      <c r="D355" s="8"/>
      <c r="E355" s="8">
        <v>1.2573943240330501</v>
      </c>
      <c r="F355">
        <f>B355/B343</f>
        <v>1.2573943240330501</v>
      </c>
      <c r="G355">
        <f>F355-1</f>
        <v>0.25739432403305007</v>
      </c>
    </row>
    <row r="356" spans="1:7" x14ac:dyDescent="0.3">
      <c r="A356" s="4" t="s">
        <v>353</v>
      </c>
      <c r="B356" s="5">
        <v>125924.19</v>
      </c>
      <c r="C356" s="8">
        <f t="shared" si="17"/>
        <v>-1.7032053899072697E-2</v>
      </c>
      <c r="D356" s="8"/>
      <c r="E356" s="8"/>
    </row>
    <row r="357" spans="1:7" x14ac:dyDescent="0.3">
      <c r="A357" s="4" t="s">
        <v>354</v>
      </c>
      <c r="B357" s="5">
        <v>122098.09</v>
      </c>
      <c r="C357" s="8">
        <f t="shared" si="17"/>
        <v>-3.0384154148619169E-2</v>
      </c>
      <c r="D357" s="8"/>
      <c r="E357" s="8"/>
    </row>
    <row r="358" spans="1:7" x14ac:dyDescent="0.3">
      <c r="A358" s="4" t="s">
        <v>355</v>
      </c>
      <c r="B358" s="5">
        <v>123906.55</v>
      </c>
      <c r="C358" s="8">
        <f t="shared" si="17"/>
        <v>1.4811533906877727E-2</v>
      </c>
      <c r="D358" s="8"/>
      <c r="E358" s="8"/>
    </row>
    <row r="359" spans="1:7" x14ac:dyDescent="0.3">
      <c r="A359" s="4" t="s">
        <v>356</v>
      </c>
      <c r="B359" s="5">
        <v>127651.81</v>
      </c>
      <c r="C359" s="8">
        <f t="shared" si="17"/>
        <v>3.0226489237251686E-2</v>
      </c>
      <c r="D359" s="8"/>
      <c r="E359" s="8"/>
    </row>
    <row r="360" spans="1:7" x14ac:dyDescent="0.3">
      <c r="A360" s="4" t="s">
        <v>357</v>
      </c>
      <c r="B360" s="5">
        <v>136004.01</v>
      </c>
      <c r="C360" s="8">
        <f t="shared" si="17"/>
        <v>6.5429546200715949E-2</v>
      </c>
      <c r="D360" s="8"/>
      <c r="E360" s="8"/>
    </row>
    <row r="361" spans="1:7" x14ac:dyDescent="0.3">
      <c r="A361" s="4" t="s">
        <v>358</v>
      </c>
      <c r="B361" s="5">
        <v>131816.44</v>
      </c>
      <c r="C361" s="8">
        <f t="shared" si="17"/>
        <v>-3.0790048028730976E-2</v>
      </c>
      <c r="D361" s="8"/>
      <c r="E361" s="8"/>
    </row>
    <row r="362" spans="1:7" x14ac:dyDescent="0.3">
      <c r="A362" s="4" t="s">
        <v>359</v>
      </c>
      <c r="B362" s="5">
        <v>129713.33</v>
      </c>
      <c r="C362" s="8">
        <f t="shared" si="17"/>
        <v>-1.595483841014067E-2</v>
      </c>
      <c r="D362" s="8"/>
      <c r="E362" s="8"/>
    </row>
    <row r="363" spans="1:7" x14ac:dyDescent="0.3">
      <c r="A363" s="4" t="s">
        <v>360</v>
      </c>
      <c r="B363" s="5">
        <v>125667.83</v>
      </c>
      <c r="C363" s="8">
        <f t="shared" si="17"/>
        <v>-3.1188005118672035E-2</v>
      </c>
      <c r="D363" s="8"/>
      <c r="E363" s="8"/>
    </row>
    <row r="364" spans="1:7" x14ac:dyDescent="0.3">
      <c r="A364" s="4" t="s">
        <v>361</v>
      </c>
      <c r="B364" s="5">
        <v>120283.4</v>
      </c>
      <c r="C364" s="8">
        <f t="shared" si="17"/>
        <v>-4.2846526434012655E-2</v>
      </c>
      <c r="D364" s="8"/>
      <c r="E364" s="8"/>
    </row>
    <row r="365" spans="1:7" x14ac:dyDescent="0.3">
      <c r="A365" s="4" t="s">
        <v>362</v>
      </c>
      <c r="B365" s="5">
        <v>126134.94</v>
      </c>
      <c r="C365" s="8">
        <f t="shared" si="17"/>
        <v>4.8647943107694047E-2</v>
      </c>
      <c r="D365" s="8"/>
      <c r="E365" s="8"/>
    </row>
    <row r="366" spans="1:7" x14ac:dyDescent="0.3">
      <c r="A366" s="4" t="s">
        <v>363</v>
      </c>
      <c r="B366" s="5">
        <v>122799.09</v>
      </c>
      <c r="C366" s="8">
        <f t="shared" si="17"/>
        <v>-2.6446676868439489E-2</v>
      </c>
      <c r="D366" s="8"/>
      <c r="E366" s="8"/>
    </row>
    <row r="367" spans="1:7" x14ac:dyDescent="0.3">
      <c r="A367" s="4" t="s">
        <v>364</v>
      </c>
      <c r="B367" s="5">
        <v>130259.54</v>
      </c>
      <c r="C367" s="8">
        <f t="shared" si="17"/>
        <v>6.0753300370548269E-2</v>
      </c>
      <c r="D367" s="8"/>
      <c r="E367" s="8">
        <v>1.0168098162382586</v>
      </c>
      <c r="F367">
        <f>B367/B355</f>
        <v>1.0168098162382586</v>
      </c>
      <c r="G367">
        <f>F367-1</f>
        <v>1.6809816238258612E-2</v>
      </c>
    </row>
    <row r="368" spans="1:7" x14ac:dyDescent="0.3">
      <c r="A368" s="4" t="s">
        <v>365</v>
      </c>
      <c r="B368" s="5">
        <v>135066.97</v>
      </c>
      <c r="C368" s="8"/>
      <c r="D368" s="8"/>
      <c r="E368" s="8"/>
    </row>
  </sheetData>
  <pageMargins left="0.7" right="0.7" top="0.75" bottom="0.75" header="0.3" footer="0.3"/>
  <pageSetup paperSize="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B368"/>
  <sheetViews>
    <sheetView topLeftCell="A343" workbookViewId="0"/>
  </sheetViews>
  <sheetFormatPr defaultRowHeight="14.4" x14ac:dyDescent="0.3"/>
  <cols>
    <col min="1" max="1" width="9" customWidth="1"/>
    <col min="2" max="2" width="11" customWidth="1"/>
    <col min="3" max="3" width="9" customWidth="1"/>
  </cols>
  <sheetData>
    <row r="1" spans="1:2" x14ac:dyDescent="0.3">
      <c r="A1" s="6" t="s">
        <v>372</v>
      </c>
      <c r="B1" s="1" t="s">
        <v>368</v>
      </c>
    </row>
    <row r="2" spans="1:2" x14ac:dyDescent="0.3">
      <c r="A2" s="6" t="s">
        <v>367</v>
      </c>
    </row>
    <row r="4" spans="1:2" ht="30.6" x14ac:dyDescent="0.3">
      <c r="A4" s="2" t="s">
        <v>0</v>
      </c>
      <c r="B4" s="3" t="s">
        <v>1</v>
      </c>
    </row>
    <row r="5" spans="1:2" x14ac:dyDescent="0.3">
      <c r="A5" s="4" t="s">
        <v>2</v>
      </c>
      <c r="B5" s="5" t="s">
        <v>371</v>
      </c>
    </row>
    <row r="6" spans="1:2" x14ac:dyDescent="0.3">
      <c r="A6" s="4" t="s">
        <v>3</v>
      </c>
      <c r="B6" s="5" t="s">
        <v>371</v>
      </c>
    </row>
    <row r="7" spans="1:2" x14ac:dyDescent="0.3">
      <c r="A7" s="4" t="s">
        <v>4</v>
      </c>
      <c r="B7" s="5" t="s">
        <v>371</v>
      </c>
    </row>
    <row r="8" spans="1:2" x14ac:dyDescent="0.3">
      <c r="A8" s="4" t="s">
        <v>5</v>
      </c>
      <c r="B8" s="5" t="s">
        <v>371</v>
      </c>
    </row>
    <row r="9" spans="1:2" x14ac:dyDescent="0.3">
      <c r="A9" s="4" t="s">
        <v>6</v>
      </c>
      <c r="B9" s="5" t="s">
        <v>371</v>
      </c>
    </row>
    <row r="10" spans="1:2" x14ac:dyDescent="0.3">
      <c r="A10" s="4" t="s">
        <v>7</v>
      </c>
      <c r="B10" s="5" t="s">
        <v>371</v>
      </c>
    </row>
    <row r="11" spans="1:2" x14ac:dyDescent="0.3">
      <c r="A11" s="4" t="s">
        <v>8</v>
      </c>
      <c r="B11" s="5" t="s">
        <v>371</v>
      </c>
    </row>
    <row r="12" spans="1:2" x14ac:dyDescent="0.3">
      <c r="A12" s="4" t="s">
        <v>9</v>
      </c>
      <c r="B12" s="5" t="s">
        <v>371</v>
      </c>
    </row>
    <row r="13" spans="1:2" x14ac:dyDescent="0.3">
      <c r="A13" s="4" t="s">
        <v>10</v>
      </c>
      <c r="B13" s="5" t="s">
        <v>371</v>
      </c>
    </row>
    <row r="14" spans="1:2" x14ac:dyDescent="0.3">
      <c r="A14" s="4" t="s">
        <v>11</v>
      </c>
      <c r="B14" s="5" t="s">
        <v>371</v>
      </c>
    </row>
    <row r="15" spans="1:2" x14ac:dyDescent="0.3">
      <c r="A15" s="4" t="s">
        <v>12</v>
      </c>
      <c r="B15" s="5" t="s">
        <v>371</v>
      </c>
    </row>
    <row r="16" spans="1:2" x14ac:dyDescent="0.3">
      <c r="A16" s="4" t="s">
        <v>13</v>
      </c>
      <c r="B16" s="5" t="s">
        <v>371</v>
      </c>
    </row>
    <row r="17" spans="1:2" x14ac:dyDescent="0.3">
      <c r="A17" s="4" t="s">
        <v>14</v>
      </c>
      <c r="B17" s="5" t="s">
        <v>371</v>
      </c>
    </row>
    <row r="18" spans="1:2" x14ac:dyDescent="0.3">
      <c r="A18" s="4" t="s">
        <v>15</v>
      </c>
      <c r="B18" s="5" t="s">
        <v>371</v>
      </c>
    </row>
    <row r="19" spans="1:2" x14ac:dyDescent="0.3">
      <c r="A19" s="4" t="s">
        <v>16</v>
      </c>
      <c r="B19" s="5" t="s">
        <v>371</v>
      </c>
    </row>
    <row r="20" spans="1:2" x14ac:dyDescent="0.3">
      <c r="A20" s="4" t="s">
        <v>17</v>
      </c>
      <c r="B20" s="5" t="s">
        <v>371</v>
      </c>
    </row>
    <row r="21" spans="1:2" x14ac:dyDescent="0.3">
      <c r="A21" s="4" t="s">
        <v>18</v>
      </c>
      <c r="B21" s="5" t="s">
        <v>371</v>
      </c>
    </row>
    <row r="22" spans="1:2" x14ac:dyDescent="0.3">
      <c r="A22" s="4" t="s">
        <v>19</v>
      </c>
      <c r="B22" s="5" t="s">
        <v>371</v>
      </c>
    </row>
    <row r="23" spans="1:2" x14ac:dyDescent="0.3">
      <c r="A23" s="4" t="s">
        <v>20</v>
      </c>
      <c r="B23" s="5" t="s">
        <v>371</v>
      </c>
    </row>
    <row r="24" spans="1:2" x14ac:dyDescent="0.3">
      <c r="A24" s="4" t="s">
        <v>21</v>
      </c>
      <c r="B24" s="5" t="s">
        <v>371</v>
      </c>
    </row>
    <row r="25" spans="1:2" x14ac:dyDescent="0.3">
      <c r="A25" s="4" t="s">
        <v>22</v>
      </c>
      <c r="B25" s="5" t="s">
        <v>371</v>
      </c>
    </row>
    <row r="26" spans="1:2" x14ac:dyDescent="0.3">
      <c r="A26" s="4" t="s">
        <v>23</v>
      </c>
      <c r="B26" s="5" t="s">
        <v>371</v>
      </c>
    </row>
    <row r="27" spans="1:2" x14ac:dyDescent="0.3">
      <c r="A27" s="4" t="s">
        <v>24</v>
      </c>
      <c r="B27" s="5" t="s">
        <v>371</v>
      </c>
    </row>
    <row r="28" spans="1:2" x14ac:dyDescent="0.3">
      <c r="A28" s="4" t="s">
        <v>25</v>
      </c>
      <c r="B28" s="5" t="s">
        <v>371</v>
      </c>
    </row>
    <row r="29" spans="1:2" x14ac:dyDescent="0.3">
      <c r="A29" s="4" t="s">
        <v>26</v>
      </c>
      <c r="B29" s="5" t="s">
        <v>371</v>
      </c>
    </row>
    <row r="30" spans="1:2" x14ac:dyDescent="0.3">
      <c r="A30" s="4" t="s">
        <v>27</v>
      </c>
      <c r="B30" s="5" t="s">
        <v>371</v>
      </c>
    </row>
    <row r="31" spans="1:2" x14ac:dyDescent="0.3">
      <c r="A31" s="4" t="s">
        <v>28</v>
      </c>
      <c r="B31" s="5" t="s">
        <v>371</v>
      </c>
    </row>
    <row r="32" spans="1:2" x14ac:dyDescent="0.3">
      <c r="A32" s="4" t="s">
        <v>29</v>
      </c>
      <c r="B32" s="5" t="s">
        <v>371</v>
      </c>
    </row>
    <row r="33" spans="1:2" x14ac:dyDescent="0.3">
      <c r="A33" s="4" t="s">
        <v>30</v>
      </c>
      <c r="B33" s="5" t="s">
        <v>371</v>
      </c>
    </row>
    <row r="34" spans="1:2" x14ac:dyDescent="0.3">
      <c r="A34" s="4" t="s">
        <v>31</v>
      </c>
      <c r="B34" s="5" t="s">
        <v>371</v>
      </c>
    </row>
    <row r="35" spans="1:2" x14ac:dyDescent="0.3">
      <c r="A35" s="4" t="s">
        <v>32</v>
      </c>
      <c r="B35" s="5" t="s">
        <v>371</v>
      </c>
    </row>
    <row r="36" spans="1:2" x14ac:dyDescent="0.3">
      <c r="A36" s="4" t="s">
        <v>33</v>
      </c>
      <c r="B36" s="5" t="s">
        <v>371</v>
      </c>
    </row>
    <row r="37" spans="1:2" x14ac:dyDescent="0.3">
      <c r="A37" s="4" t="s">
        <v>34</v>
      </c>
      <c r="B37" s="5" t="s">
        <v>371</v>
      </c>
    </row>
    <row r="38" spans="1:2" x14ac:dyDescent="0.3">
      <c r="A38" s="4" t="s">
        <v>35</v>
      </c>
      <c r="B38" s="5" t="s">
        <v>371</v>
      </c>
    </row>
    <row r="39" spans="1:2" x14ac:dyDescent="0.3">
      <c r="A39" s="4" t="s">
        <v>36</v>
      </c>
      <c r="B39" s="5" t="s">
        <v>371</v>
      </c>
    </row>
    <row r="40" spans="1:2" x14ac:dyDescent="0.3">
      <c r="A40" s="4" t="s">
        <v>37</v>
      </c>
      <c r="B40" s="5">
        <v>1000</v>
      </c>
    </row>
    <row r="41" spans="1:2" x14ac:dyDescent="0.3">
      <c r="A41" s="4" t="s">
        <v>38</v>
      </c>
      <c r="B41" s="5">
        <v>938.48999022999999</v>
      </c>
    </row>
    <row r="42" spans="1:2" x14ac:dyDescent="0.3">
      <c r="A42" s="4" t="s">
        <v>39</v>
      </c>
      <c r="B42" s="5">
        <v>1007.5999755</v>
      </c>
    </row>
    <row r="43" spans="1:2" x14ac:dyDescent="0.3">
      <c r="A43" s="4" t="s">
        <v>40</v>
      </c>
      <c r="B43" s="5">
        <v>1189.7299805</v>
      </c>
    </row>
    <row r="44" spans="1:2" x14ac:dyDescent="0.3">
      <c r="A44" s="4" t="s">
        <v>41</v>
      </c>
      <c r="B44" s="5">
        <v>1186.5799560999999</v>
      </c>
    </row>
    <row r="45" spans="1:2" x14ac:dyDescent="0.3">
      <c r="A45" s="4" t="s">
        <v>42</v>
      </c>
      <c r="B45" s="5">
        <v>957.28002930000002</v>
      </c>
    </row>
    <row r="46" spans="1:2" x14ac:dyDescent="0.3">
      <c r="A46" s="4" t="s">
        <v>43</v>
      </c>
      <c r="B46" s="5">
        <v>913.15997314000003</v>
      </c>
    </row>
    <row r="47" spans="1:2" x14ac:dyDescent="0.3">
      <c r="A47" s="4" t="s">
        <v>44</v>
      </c>
      <c r="B47" s="5">
        <v>995.26000977000001</v>
      </c>
    </row>
    <row r="48" spans="1:2" x14ac:dyDescent="0.3">
      <c r="A48" s="4" t="s">
        <v>45</v>
      </c>
      <c r="B48" s="5">
        <v>594.19000243999994</v>
      </c>
    </row>
    <row r="49" spans="1:2" x14ac:dyDescent="0.3">
      <c r="A49" s="4" t="s">
        <v>46</v>
      </c>
      <c r="B49" s="5">
        <v>606.03997803000004</v>
      </c>
    </row>
    <row r="50" spans="1:2" x14ac:dyDescent="0.3">
      <c r="A50" s="4" t="s">
        <v>47</v>
      </c>
      <c r="B50" s="5">
        <v>649.64001465000001</v>
      </c>
    </row>
    <row r="51" spans="1:2" x14ac:dyDescent="0.3">
      <c r="A51" s="4" t="s">
        <v>48</v>
      </c>
      <c r="B51" s="5">
        <v>781.91998291000004</v>
      </c>
    </row>
    <row r="52" spans="1:2" x14ac:dyDescent="0.3">
      <c r="A52" s="4" t="s">
        <v>49</v>
      </c>
      <c r="B52" s="5">
        <v>625.15997314000003</v>
      </c>
    </row>
    <row r="53" spans="1:2" x14ac:dyDescent="0.3">
      <c r="A53" s="4" t="s">
        <v>50</v>
      </c>
      <c r="B53" s="5">
        <v>740.11999512</v>
      </c>
    </row>
    <row r="54" spans="1:2" x14ac:dyDescent="0.3">
      <c r="A54" s="4" t="s">
        <v>51</v>
      </c>
      <c r="B54" s="5">
        <v>809.32000731999995</v>
      </c>
    </row>
    <row r="55" spans="1:2" x14ac:dyDescent="0.3">
      <c r="A55" s="4" t="s">
        <v>52</v>
      </c>
      <c r="B55" s="5">
        <v>961.77001953000001</v>
      </c>
    </row>
    <row r="56" spans="1:2" x14ac:dyDescent="0.3">
      <c r="A56" s="4" t="s">
        <v>53</v>
      </c>
      <c r="B56" s="5">
        <v>1032.4599608999999</v>
      </c>
    </row>
    <row r="57" spans="1:2" x14ac:dyDescent="0.3">
      <c r="A57" s="4" t="s">
        <v>54</v>
      </c>
      <c r="B57" s="5">
        <v>1015.580017</v>
      </c>
    </row>
    <row r="58" spans="1:2" x14ac:dyDescent="0.3">
      <c r="A58" s="4" t="s">
        <v>55</v>
      </c>
      <c r="B58" s="5">
        <v>1063.0400391000001</v>
      </c>
    </row>
    <row r="59" spans="1:2" x14ac:dyDescent="0.3">
      <c r="A59" s="4" t="s">
        <v>56</v>
      </c>
      <c r="B59" s="5">
        <v>962.38000488</v>
      </c>
    </row>
    <row r="60" spans="1:2" x14ac:dyDescent="0.3">
      <c r="A60" s="4" t="s">
        <v>57</v>
      </c>
      <c r="B60" s="5">
        <v>975.47998046999999</v>
      </c>
    </row>
    <row r="61" spans="1:2" x14ac:dyDescent="0.3">
      <c r="A61" s="4" t="s">
        <v>58</v>
      </c>
      <c r="B61" s="5">
        <v>1036.7700195</v>
      </c>
    </row>
    <row r="62" spans="1:2" x14ac:dyDescent="0.3">
      <c r="A62" s="4" t="s">
        <v>59</v>
      </c>
      <c r="B62" s="5">
        <v>1096.2600098</v>
      </c>
    </row>
    <row r="63" spans="1:2" x14ac:dyDescent="0.3">
      <c r="A63" s="4" t="s">
        <v>60</v>
      </c>
      <c r="B63" s="5">
        <v>1277.1199951000001</v>
      </c>
    </row>
    <row r="64" spans="1:2" x14ac:dyDescent="0.3">
      <c r="A64" s="4" t="s">
        <v>61</v>
      </c>
      <c r="B64" s="5">
        <v>1568.7399902</v>
      </c>
    </row>
    <row r="65" spans="1:2" x14ac:dyDescent="0.3">
      <c r="A65" s="4" t="s">
        <v>62</v>
      </c>
      <c r="B65" s="5">
        <v>1501.8299560999999</v>
      </c>
    </row>
    <row r="66" spans="1:2" x14ac:dyDescent="0.3">
      <c r="A66" s="4" t="s">
        <v>63</v>
      </c>
      <c r="B66" s="5">
        <v>1587.3100586</v>
      </c>
    </row>
    <row r="67" spans="1:2" x14ac:dyDescent="0.3">
      <c r="A67" s="4" t="s">
        <v>64</v>
      </c>
      <c r="B67" s="5">
        <v>1625.8199463000001</v>
      </c>
    </row>
    <row r="68" spans="1:2" x14ac:dyDescent="0.3">
      <c r="A68" s="4" t="s">
        <v>65</v>
      </c>
      <c r="B68" s="5">
        <v>1433.6999512</v>
      </c>
    </row>
    <row r="69" spans="1:2" x14ac:dyDescent="0.3">
      <c r="A69" s="4" t="s">
        <v>66</v>
      </c>
      <c r="B69" s="5">
        <v>1392.7199707</v>
      </c>
    </row>
    <row r="70" spans="1:2" x14ac:dyDescent="0.3">
      <c r="A70" s="4" t="s">
        <v>67</v>
      </c>
      <c r="B70" s="5">
        <v>1574.3699951000001</v>
      </c>
    </row>
    <row r="71" spans="1:2" x14ac:dyDescent="0.3">
      <c r="A71" s="4" t="s">
        <v>68</v>
      </c>
      <c r="B71" s="5">
        <v>1505.5899658000001</v>
      </c>
    </row>
    <row r="72" spans="1:2" x14ac:dyDescent="0.3">
      <c r="A72" s="4" t="s">
        <v>69</v>
      </c>
      <c r="B72" s="5">
        <v>1613.6899414</v>
      </c>
    </row>
    <row r="73" spans="1:2" x14ac:dyDescent="0.3">
      <c r="A73" s="4" t="s">
        <v>70</v>
      </c>
      <c r="B73" s="5">
        <v>1545.3100586</v>
      </c>
    </row>
    <row r="74" spans="1:2" x14ac:dyDescent="0.3">
      <c r="A74" s="4" t="s">
        <v>71</v>
      </c>
      <c r="B74" s="5">
        <v>1463.6600341999999</v>
      </c>
    </row>
    <row r="75" spans="1:2" x14ac:dyDescent="0.3">
      <c r="A75" s="4" t="s">
        <v>72</v>
      </c>
      <c r="B75" s="5">
        <v>1338.6600341999999</v>
      </c>
    </row>
    <row r="76" spans="1:2" x14ac:dyDescent="0.3">
      <c r="A76" s="4" t="s">
        <v>73</v>
      </c>
      <c r="B76" s="5">
        <v>1518.4899902</v>
      </c>
    </row>
    <row r="77" spans="1:2" x14ac:dyDescent="0.3">
      <c r="A77" s="4" t="s">
        <v>74</v>
      </c>
      <c r="B77" s="5">
        <v>1744.3199463000001</v>
      </c>
    </row>
    <row r="78" spans="1:2" x14ac:dyDescent="0.3">
      <c r="A78" s="4" t="s">
        <v>75</v>
      </c>
      <c r="B78" s="5">
        <v>1607.3299560999999</v>
      </c>
    </row>
    <row r="79" spans="1:2" x14ac:dyDescent="0.3">
      <c r="A79" s="4" t="s">
        <v>76</v>
      </c>
      <c r="B79" s="5">
        <v>1497.6199951000001</v>
      </c>
    </row>
    <row r="80" spans="1:2" x14ac:dyDescent="0.3">
      <c r="A80" s="4" t="s">
        <v>77</v>
      </c>
      <c r="B80" s="5">
        <v>1591.7800293</v>
      </c>
    </row>
    <row r="81" spans="1:2" x14ac:dyDescent="0.3">
      <c r="A81" s="4" t="s">
        <v>78</v>
      </c>
      <c r="B81" s="5">
        <v>1628.6700439000001</v>
      </c>
    </row>
    <row r="82" spans="1:2" x14ac:dyDescent="0.3">
      <c r="A82" s="4" t="s">
        <v>79</v>
      </c>
      <c r="B82" s="5">
        <v>1584.1400146000001</v>
      </c>
    </row>
    <row r="83" spans="1:2" x14ac:dyDescent="0.3">
      <c r="A83" s="4" t="s">
        <v>80</v>
      </c>
      <c r="B83" s="5">
        <v>1537.9799805</v>
      </c>
    </row>
    <row r="84" spans="1:2" x14ac:dyDescent="0.3">
      <c r="A84" s="4" t="s">
        <v>81</v>
      </c>
      <c r="B84" s="5">
        <v>1469.8000488</v>
      </c>
    </row>
    <row r="85" spans="1:2" x14ac:dyDescent="0.3">
      <c r="A85" s="4" t="s">
        <v>82</v>
      </c>
      <c r="B85" s="5">
        <v>1269.8299560999999</v>
      </c>
    </row>
    <row r="86" spans="1:2" x14ac:dyDescent="0.3">
      <c r="A86" s="4" t="s">
        <v>83</v>
      </c>
      <c r="B86" s="5">
        <v>1337.7800293</v>
      </c>
    </row>
    <row r="87" spans="1:2" x14ac:dyDescent="0.3">
      <c r="A87" s="4" t="s">
        <v>84</v>
      </c>
      <c r="B87" s="5">
        <v>1417.4799805</v>
      </c>
    </row>
    <row r="88" spans="1:2" x14ac:dyDescent="0.3">
      <c r="A88" s="4" t="s">
        <v>85</v>
      </c>
      <c r="B88" s="5">
        <v>1483.6700439000001</v>
      </c>
    </row>
    <row r="89" spans="1:2" x14ac:dyDescent="0.3">
      <c r="A89" s="4" t="s">
        <v>86</v>
      </c>
      <c r="B89" s="5">
        <v>1426</v>
      </c>
    </row>
    <row r="90" spans="1:2" x14ac:dyDescent="0.3">
      <c r="A90" s="4" t="s">
        <v>87</v>
      </c>
      <c r="B90" s="5">
        <v>1599.3100586</v>
      </c>
    </row>
    <row r="91" spans="1:2" x14ac:dyDescent="0.3">
      <c r="A91" s="4" t="s">
        <v>88</v>
      </c>
      <c r="B91" s="5">
        <v>1581.4300536999999</v>
      </c>
    </row>
    <row r="92" spans="1:2" x14ac:dyDescent="0.3">
      <c r="A92" s="4" t="s">
        <v>89</v>
      </c>
      <c r="B92" s="5">
        <v>1586.6500243999999</v>
      </c>
    </row>
    <row r="93" spans="1:2" x14ac:dyDescent="0.3">
      <c r="A93" s="4" t="s">
        <v>90</v>
      </c>
      <c r="B93" s="5">
        <v>1585.3699951000001</v>
      </c>
    </row>
    <row r="94" spans="1:2" x14ac:dyDescent="0.3">
      <c r="A94" s="4" t="s">
        <v>91</v>
      </c>
      <c r="B94" s="5">
        <v>1460.2099608999999</v>
      </c>
    </row>
    <row r="95" spans="1:2" x14ac:dyDescent="0.3">
      <c r="A95" s="4" t="s">
        <v>92</v>
      </c>
      <c r="B95" s="5">
        <v>1308.6600341999999</v>
      </c>
    </row>
    <row r="96" spans="1:2" x14ac:dyDescent="0.3">
      <c r="A96" s="4" t="s">
        <v>93</v>
      </c>
      <c r="B96" s="5">
        <v>1362.0999756000001</v>
      </c>
    </row>
    <row r="97" spans="1:2" x14ac:dyDescent="0.3">
      <c r="A97" s="4" t="s">
        <v>94</v>
      </c>
      <c r="B97" s="5">
        <v>1225.0300293</v>
      </c>
    </row>
    <row r="98" spans="1:2" x14ac:dyDescent="0.3">
      <c r="A98" s="4" t="s">
        <v>95</v>
      </c>
      <c r="B98" s="5">
        <v>1459.75</v>
      </c>
    </row>
    <row r="99" spans="1:2" x14ac:dyDescent="0.3">
      <c r="A99" s="4" t="s">
        <v>96</v>
      </c>
      <c r="B99" s="5">
        <v>1478.2800293</v>
      </c>
    </row>
    <row r="100" spans="1:2" x14ac:dyDescent="0.3">
      <c r="A100" s="4" t="s">
        <v>97</v>
      </c>
      <c r="B100" s="5">
        <v>1565.2800293</v>
      </c>
    </row>
    <row r="101" spans="1:2" x14ac:dyDescent="0.3">
      <c r="A101" s="4" t="s">
        <v>98</v>
      </c>
      <c r="B101" s="5">
        <v>1509</v>
      </c>
    </row>
    <row r="102" spans="1:2" x14ac:dyDescent="0.3">
      <c r="A102" s="4" t="s">
        <v>99</v>
      </c>
      <c r="B102" s="5">
        <v>1460</v>
      </c>
    </row>
    <row r="103" spans="1:2" x14ac:dyDescent="0.3">
      <c r="A103" s="4" t="s">
        <v>100</v>
      </c>
      <c r="B103" s="5">
        <v>1554</v>
      </c>
    </row>
    <row r="104" spans="1:2" x14ac:dyDescent="0.3">
      <c r="A104" s="4" t="s">
        <v>101</v>
      </c>
      <c r="B104" s="5">
        <v>1634</v>
      </c>
    </row>
    <row r="105" spans="1:2" x14ac:dyDescent="0.3">
      <c r="A105" s="4" t="s">
        <v>102</v>
      </c>
      <c r="B105" s="5">
        <v>1724</v>
      </c>
    </row>
    <row r="106" spans="1:2" x14ac:dyDescent="0.3">
      <c r="A106" s="4" t="s">
        <v>103</v>
      </c>
      <c r="B106" s="5">
        <v>1669</v>
      </c>
    </row>
    <row r="107" spans="1:2" x14ac:dyDescent="0.3">
      <c r="A107" s="4" t="s">
        <v>104</v>
      </c>
      <c r="B107" s="5">
        <v>1811</v>
      </c>
    </row>
    <row r="108" spans="1:2" x14ac:dyDescent="0.3">
      <c r="A108" s="4" t="s">
        <v>105</v>
      </c>
      <c r="B108" s="5">
        <v>2001</v>
      </c>
    </row>
    <row r="109" spans="1:2" x14ac:dyDescent="0.3">
      <c r="A109" s="4" t="s">
        <v>106</v>
      </c>
      <c r="B109" s="5">
        <v>2015</v>
      </c>
    </row>
    <row r="110" spans="1:2" x14ac:dyDescent="0.3">
      <c r="A110" s="4" t="s">
        <v>107</v>
      </c>
      <c r="B110" s="5">
        <v>2189</v>
      </c>
    </row>
    <row r="111" spans="1:2" x14ac:dyDescent="0.3">
      <c r="A111" s="4" t="s">
        <v>108</v>
      </c>
      <c r="B111" s="5">
        <v>2390</v>
      </c>
    </row>
    <row r="112" spans="1:2" x14ac:dyDescent="0.3">
      <c r="A112" s="4" t="s">
        <v>109</v>
      </c>
      <c r="B112" s="5">
        <v>2757</v>
      </c>
    </row>
    <row r="113" spans="1:2" x14ac:dyDescent="0.3">
      <c r="A113" s="4" t="s">
        <v>110</v>
      </c>
      <c r="B113" s="5">
        <v>2686</v>
      </c>
    </row>
    <row r="114" spans="1:2" x14ac:dyDescent="0.3">
      <c r="A114" s="4" t="s">
        <v>111</v>
      </c>
      <c r="B114" s="5">
        <v>2777</v>
      </c>
    </row>
    <row r="115" spans="1:2" x14ac:dyDescent="0.3">
      <c r="A115" s="4" t="s">
        <v>112</v>
      </c>
      <c r="B115" s="5">
        <v>2771</v>
      </c>
    </row>
    <row r="116" spans="1:2" x14ac:dyDescent="0.3">
      <c r="A116" s="4" t="s">
        <v>113</v>
      </c>
      <c r="B116" s="5">
        <v>2396</v>
      </c>
    </row>
    <row r="117" spans="1:2" x14ac:dyDescent="0.3">
      <c r="A117" s="4" t="s">
        <v>114</v>
      </c>
      <c r="B117" s="5">
        <v>2487</v>
      </c>
    </row>
    <row r="118" spans="1:2" x14ac:dyDescent="0.3">
      <c r="A118" s="4" t="s">
        <v>115</v>
      </c>
      <c r="B118" s="5">
        <v>2623</v>
      </c>
    </row>
    <row r="119" spans="1:2" x14ac:dyDescent="0.3">
      <c r="A119" s="4" t="s">
        <v>116</v>
      </c>
      <c r="B119" s="5">
        <v>2758</v>
      </c>
    </row>
    <row r="120" spans="1:2" x14ac:dyDescent="0.3">
      <c r="A120" s="4" t="s">
        <v>117</v>
      </c>
      <c r="B120" s="5">
        <v>2853</v>
      </c>
    </row>
    <row r="121" spans="1:2" x14ac:dyDescent="0.3">
      <c r="A121" s="4" t="s">
        <v>118</v>
      </c>
      <c r="B121" s="5">
        <v>3031</v>
      </c>
    </row>
    <row r="122" spans="1:2" x14ac:dyDescent="0.3">
      <c r="A122" s="4" t="s">
        <v>119</v>
      </c>
      <c r="B122" s="5">
        <v>3084</v>
      </c>
    </row>
    <row r="123" spans="1:2" x14ac:dyDescent="0.3">
      <c r="A123" s="4" t="s">
        <v>120</v>
      </c>
      <c r="B123" s="5">
        <v>3257</v>
      </c>
    </row>
    <row r="124" spans="1:2" x14ac:dyDescent="0.3">
      <c r="A124" s="4" t="s">
        <v>121</v>
      </c>
      <c r="B124" s="5">
        <v>3493</v>
      </c>
    </row>
    <row r="125" spans="1:2" x14ac:dyDescent="0.3">
      <c r="A125" s="4" t="s">
        <v>122</v>
      </c>
      <c r="B125" s="5">
        <v>3357</v>
      </c>
    </row>
    <row r="126" spans="1:2" x14ac:dyDescent="0.3">
      <c r="A126" s="4" t="s">
        <v>123</v>
      </c>
      <c r="B126" s="5">
        <v>3881</v>
      </c>
    </row>
    <row r="127" spans="1:2" x14ac:dyDescent="0.3">
      <c r="A127" s="4" t="s">
        <v>124</v>
      </c>
      <c r="B127" s="5">
        <v>3655</v>
      </c>
    </row>
    <row r="128" spans="1:2" x14ac:dyDescent="0.3">
      <c r="A128" s="4" t="s">
        <v>125</v>
      </c>
      <c r="B128" s="5">
        <v>3357</v>
      </c>
    </row>
    <row r="129" spans="1:2" x14ac:dyDescent="0.3">
      <c r="A129" s="4" t="s">
        <v>126</v>
      </c>
      <c r="B129" s="5">
        <v>3407</v>
      </c>
    </row>
    <row r="130" spans="1:2" x14ac:dyDescent="0.3">
      <c r="A130" s="4" t="s">
        <v>127</v>
      </c>
      <c r="B130" s="5">
        <v>3493</v>
      </c>
    </row>
    <row r="131" spans="1:2" x14ac:dyDescent="0.3">
      <c r="A131" s="4" t="s">
        <v>128</v>
      </c>
      <c r="B131" s="5">
        <v>3668</v>
      </c>
    </row>
    <row r="132" spans="1:2" x14ac:dyDescent="0.3">
      <c r="A132" s="4" t="s">
        <v>129</v>
      </c>
      <c r="B132" s="5">
        <v>4045</v>
      </c>
    </row>
    <row r="133" spans="1:2" x14ac:dyDescent="0.3">
      <c r="A133" s="4" t="s">
        <v>130</v>
      </c>
      <c r="B133" s="5">
        <v>4537</v>
      </c>
    </row>
    <row r="134" spans="1:2" x14ac:dyDescent="0.3">
      <c r="A134" s="4" t="s">
        <v>131</v>
      </c>
      <c r="B134" s="5">
        <v>4335</v>
      </c>
    </row>
    <row r="135" spans="1:2" x14ac:dyDescent="0.3">
      <c r="A135" s="4" t="s">
        <v>132</v>
      </c>
      <c r="B135" s="5">
        <v>4606</v>
      </c>
    </row>
    <row r="136" spans="1:2" x14ac:dyDescent="0.3">
      <c r="A136" s="4" t="s">
        <v>133</v>
      </c>
      <c r="B136" s="5">
        <v>4823</v>
      </c>
    </row>
    <row r="137" spans="1:2" x14ac:dyDescent="0.3">
      <c r="A137" s="4" t="s">
        <v>134</v>
      </c>
      <c r="B137" s="5">
        <v>5727</v>
      </c>
    </row>
    <row r="138" spans="1:2" x14ac:dyDescent="0.3">
      <c r="A138" s="4" t="s">
        <v>135</v>
      </c>
      <c r="B138" s="5">
        <v>5637</v>
      </c>
    </row>
    <row r="139" spans="1:2" x14ac:dyDescent="0.3">
      <c r="A139" s="4" t="s">
        <v>136</v>
      </c>
      <c r="B139" s="5">
        <v>5478</v>
      </c>
    </row>
    <row r="140" spans="1:2" x14ac:dyDescent="0.3">
      <c r="A140" s="4" t="s">
        <v>137</v>
      </c>
      <c r="B140" s="5">
        <v>5790</v>
      </c>
    </row>
    <row r="141" spans="1:2" x14ac:dyDescent="0.3">
      <c r="A141" s="4" t="s">
        <v>138</v>
      </c>
      <c r="B141" s="5">
        <v>5338</v>
      </c>
    </row>
    <row r="142" spans="1:2" x14ac:dyDescent="0.3">
      <c r="A142" s="4" t="s">
        <v>139</v>
      </c>
      <c r="B142" s="5">
        <v>5319</v>
      </c>
    </row>
    <row r="143" spans="1:2" x14ac:dyDescent="0.3">
      <c r="A143" s="4" t="s">
        <v>140</v>
      </c>
      <c r="B143" s="5">
        <v>5421</v>
      </c>
    </row>
    <row r="144" spans="1:2" x14ac:dyDescent="0.3">
      <c r="A144" s="4" t="s">
        <v>141</v>
      </c>
      <c r="B144" s="5">
        <v>5272</v>
      </c>
    </row>
    <row r="145" spans="1:2" x14ac:dyDescent="0.3">
      <c r="A145" s="4" t="s">
        <v>142</v>
      </c>
      <c r="B145" s="5">
        <v>5258</v>
      </c>
    </row>
    <row r="146" spans="1:2" x14ac:dyDescent="0.3">
      <c r="A146" s="4" t="s">
        <v>143</v>
      </c>
      <c r="B146" s="5">
        <v>5647</v>
      </c>
    </row>
    <row r="147" spans="1:2" x14ac:dyDescent="0.3">
      <c r="A147" s="4" t="s">
        <v>144</v>
      </c>
      <c r="B147" s="5">
        <v>6052</v>
      </c>
    </row>
    <row r="148" spans="1:2" x14ac:dyDescent="0.3">
      <c r="A148" s="4" t="s">
        <v>145</v>
      </c>
      <c r="B148" s="5">
        <v>6450</v>
      </c>
    </row>
    <row r="149" spans="1:2" x14ac:dyDescent="0.3">
      <c r="A149" s="4" t="s">
        <v>146</v>
      </c>
      <c r="B149" s="5">
        <v>6502</v>
      </c>
    </row>
    <row r="150" spans="1:2" x14ac:dyDescent="0.3">
      <c r="A150" s="4" t="s">
        <v>147</v>
      </c>
      <c r="B150" s="5">
        <v>6321</v>
      </c>
    </row>
    <row r="151" spans="1:2" x14ac:dyDescent="0.3">
      <c r="A151" s="4" t="s">
        <v>148</v>
      </c>
      <c r="B151" s="5">
        <v>6601</v>
      </c>
    </row>
    <row r="152" spans="1:2" x14ac:dyDescent="0.3">
      <c r="A152" s="4" t="s">
        <v>149</v>
      </c>
      <c r="B152" s="5">
        <v>6978</v>
      </c>
    </row>
    <row r="153" spans="1:2" x14ac:dyDescent="0.3">
      <c r="A153" s="4" t="s">
        <v>150</v>
      </c>
      <c r="B153" s="5">
        <v>7409</v>
      </c>
    </row>
    <row r="154" spans="1:2" x14ac:dyDescent="0.3">
      <c r="A154" s="4" t="s">
        <v>151</v>
      </c>
      <c r="B154" s="5">
        <v>7710</v>
      </c>
    </row>
    <row r="155" spans="1:2" x14ac:dyDescent="0.3">
      <c r="A155" s="4" t="s">
        <v>152</v>
      </c>
      <c r="B155" s="5">
        <v>7802</v>
      </c>
    </row>
    <row r="156" spans="1:2" x14ac:dyDescent="0.3">
      <c r="A156" s="4" t="s">
        <v>153</v>
      </c>
      <c r="B156" s="5">
        <v>7899</v>
      </c>
    </row>
    <row r="157" spans="1:2" x14ac:dyDescent="0.3">
      <c r="A157" s="4" t="s">
        <v>154</v>
      </c>
      <c r="B157" s="5">
        <v>8873</v>
      </c>
    </row>
    <row r="158" spans="1:2" x14ac:dyDescent="0.3">
      <c r="A158" s="4" t="s">
        <v>155</v>
      </c>
      <c r="B158" s="5">
        <v>9692</v>
      </c>
    </row>
    <row r="159" spans="1:2" x14ac:dyDescent="0.3">
      <c r="A159" s="4" t="s">
        <v>156</v>
      </c>
      <c r="B159" s="5">
        <v>9462</v>
      </c>
    </row>
    <row r="160" spans="1:2" x14ac:dyDescent="0.3">
      <c r="A160" s="4" t="s">
        <v>157</v>
      </c>
      <c r="B160" s="5">
        <v>9754</v>
      </c>
    </row>
    <row r="161" spans="1:2" x14ac:dyDescent="0.3">
      <c r="A161" s="4" t="s">
        <v>158</v>
      </c>
      <c r="B161" s="5">
        <v>8892</v>
      </c>
    </row>
    <row r="162" spans="1:2" x14ac:dyDescent="0.3">
      <c r="A162" s="4" t="s">
        <v>159</v>
      </c>
      <c r="B162" s="5">
        <v>9507</v>
      </c>
    </row>
    <row r="163" spans="1:2" x14ac:dyDescent="0.3">
      <c r="A163" s="4" t="s">
        <v>160</v>
      </c>
      <c r="B163" s="5">
        <v>9074</v>
      </c>
    </row>
    <row r="164" spans="1:2" x14ac:dyDescent="0.3">
      <c r="A164" s="4" t="s">
        <v>161</v>
      </c>
      <c r="B164" s="5">
        <v>10161</v>
      </c>
    </row>
    <row r="165" spans="1:2" x14ac:dyDescent="0.3">
      <c r="A165" s="4" t="s">
        <v>162</v>
      </c>
      <c r="B165" s="5">
        <v>10914</v>
      </c>
    </row>
    <row r="166" spans="1:2" x14ac:dyDescent="0.3">
      <c r="A166" s="4" t="s">
        <v>163</v>
      </c>
      <c r="B166" s="5">
        <v>9795</v>
      </c>
    </row>
    <row r="167" spans="1:2" x14ac:dyDescent="0.3">
      <c r="A167" s="4" t="s">
        <v>164</v>
      </c>
      <c r="B167" s="5">
        <v>8662</v>
      </c>
    </row>
    <row r="168" spans="1:2" x14ac:dyDescent="0.3">
      <c r="A168" s="4" t="s">
        <v>165</v>
      </c>
      <c r="B168" s="5">
        <v>8143</v>
      </c>
    </row>
    <row r="169" spans="1:2" x14ac:dyDescent="0.3">
      <c r="A169" s="4" t="s">
        <v>166</v>
      </c>
      <c r="B169" s="5">
        <v>7447</v>
      </c>
    </row>
    <row r="170" spans="1:2" x14ac:dyDescent="0.3">
      <c r="A170" s="4" t="s">
        <v>167</v>
      </c>
      <c r="B170" s="5">
        <v>5522</v>
      </c>
    </row>
    <row r="171" spans="1:2" x14ac:dyDescent="0.3">
      <c r="A171" s="4" t="s">
        <v>168</v>
      </c>
      <c r="B171" s="5">
        <v>5328</v>
      </c>
    </row>
    <row r="172" spans="1:2" x14ac:dyDescent="0.3">
      <c r="A172" s="4" t="s">
        <v>169</v>
      </c>
      <c r="B172" s="5">
        <v>5546</v>
      </c>
    </row>
    <row r="173" spans="1:2" x14ac:dyDescent="0.3">
      <c r="A173" s="4" t="s">
        <v>170</v>
      </c>
      <c r="B173" s="5">
        <v>5784</v>
      </c>
    </row>
    <row r="174" spans="1:2" x14ac:dyDescent="0.3">
      <c r="A174" s="4" t="s">
        <v>171</v>
      </c>
      <c r="B174" s="5">
        <v>5722</v>
      </c>
    </row>
    <row r="175" spans="1:2" x14ac:dyDescent="0.3">
      <c r="A175" s="4" t="s">
        <v>172</v>
      </c>
      <c r="B175" s="5">
        <v>6175</v>
      </c>
    </row>
    <row r="176" spans="1:2" x14ac:dyDescent="0.3">
      <c r="A176" s="4" t="s">
        <v>173</v>
      </c>
      <c r="B176" s="5">
        <v>6985</v>
      </c>
    </row>
    <row r="177" spans="1:2" x14ac:dyDescent="0.3">
      <c r="A177" s="4" t="s">
        <v>174</v>
      </c>
      <c r="B177" s="5">
        <v>7788</v>
      </c>
    </row>
    <row r="178" spans="1:2" x14ac:dyDescent="0.3">
      <c r="A178" s="4" t="s">
        <v>175</v>
      </c>
      <c r="B178" s="5">
        <v>7459</v>
      </c>
    </row>
    <row r="179" spans="1:2" x14ac:dyDescent="0.3">
      <c r="A179" s="4" t="s">
        <v>176</v>
      </c>
      <c r="B179" s="5">
        <v>7808</v>
      </c>
    </row>
    <row r="180" spans="1:2" x14ac:dyDescent="0.3">
      <c r="A180" s="4" t="s">
        <v>177</v>
      </c>
      <c r="B180" s="5">
        <v>7927</v>
      </c>
    </row>
    <row r="181" spans="1:2" x14ac:dyDescent="0.3">
      <c r="A181" s="4" t="s">
        <v>178</v>
      </c>
      <c r="B181" s="5">
        <v>8690</v>
      </c>
    </row>
    <row r="182" spans="1:2" x14ac:dyDescent="0.3">
      <c r="A182" s="4" t="s">
        <v>179</v>
      </c>
      <c r="B182" s="5">
        <v>8709</v>
      </c>
    </row>
    <row r="183" spans="1:2" x14ac:dyDescent="0.3">
      <c r="A183" s="4" t="s">
        <v>180</v>
      </c>
      <c r="B183" s="5">
        <v>9463</v>
      </c>
    </row>
    <row r="184" spans="1:2" x14ac:dyDescent="0.3">
      <c r="A184" s="4" t="s">
        <v>181</v>
      </c>
      <c r="B184" s="5">
        <v>9562</v>
      </c>
    </row>
    <row r="185" spans="1:2" x14ac:dyDescent="0.3">
      <c r="A185" s="4" t="s">
        <v>182</v>
      </c>
      <c r="B185" s="5">
        <v>9135</v>
      </c>
    </row>
    <row r="186" spans="1:2" x14ac:dyDescent="0.3">
      <c r="A186" s="4" t="s">
        <v>183</v>
      </c>
      <c r="B186" s="5">
        <v>9253</v>
      </c>
    </row>
    <row r="187" spans="1:2" x14ac:dyDescent="0.3">
      <c r="A187" s="4" t="s">
        <v>184</v>
      </c>
      <c r="B187" s="5">
        <v>9805</v>
      </c>
    </row>
    <row r="188" spans="1:2" x14ac:dyDescent="0.3">
      <c r="A188" s="4" t="s">
        <v>185</v>
      </c>
      <c r="B188" s="5">
        <v>9402</v>
      </c>
    </row>
    <row r="189" spans="1:2" x14ac:dyDescent="0.3">
      <c r="A189" s="4" t="s">
        <v>186</v>
      </c>
      <c r="B189" s="5">
        <v>8795</v>
      </c>
    </row>
    <row r="190" spans="1:2" x14ac:dyDescent="0.3">
      <c r="A190" s="4" t="s">
        <v>187</v>
      </c>
      <c r="B190" s="5">
        <v>8293</v>
      </c>
    </row>
    <row r="191" spans="1:2" x14ac:dyDescent="0.3">
      <c r="A191" s="4" t="s">
        <v>188</v>
      </c>
      <c r="B191" s="5">
        <v>9252</v>
      </c>
    </row>
    <row r="192" spans="1:2" x14ac:dyDescent="0.3">
      <c r="A192" s="4" t="s">
        <v>189</v>
      </c>
      <c r="B192" s="5">
        <v>8883</v>
      </c>
    </row>
    <row r="193" spans="1:2" x14ac:dyDescent="0.3">
      <c r="A193" s="4" t="s">
        <v>190</v>
      </c>
      <c r="B193" s="5">
        <v>9520</v>
      </c>
    </row>
    <row r="194" spans="1:2" x14ac:dyDescent="0.3">
      <c r="A194" s="4" t="s">
        <v>191</v>
      </c>
      <c r="B194" s="5">
        <v>9643</v>
      </c>
    </row>
    <row r="195" spans="1:2" x14ac:dyDescent="0.3">
      <c r="A195" s="4" t="s">
        <v>192</v>
      </c>
      <c r="B195" s="5">
        <v>9287</v>
      </c>
    </row>
    <row r="196" spans="1:2" x14ac:dyDescent="0.3">
      <c r="A196" s="4" t="s">
        <v>193</v>
      </c>
      <c r="B196" s="5">
        <v>9634</v>
      </c>
    </row>
    <row r="197" spans="1:2" x14ac:dyDescent="0.3">
      <c r="A197" s="4" t="s">
        <v>194</v>
      </c>
      <c r="B197" s="5">
        <v>9283</v>
      </c>
    </row>
    <row r="198" spans="1:2" x14ac:dyDescent="0.3">
      <c r="A198" s="4" t="s">
        <v>195</v>
      </c>
      <c r="B198" s="5">
        <v>9482</v>
      </c>
    </row>
    <row r="199" spans="1:2" x14ac:dyDescent="0.3">
      <c r="A199" s="4" t="s">
        <v>196</v>
      </c>
      <c r="B199" s="5">
        <v>9618</v>
      </c>
    </row>
    <row r="200" spans="1:2" x14ac:dyDescent="0.3">
      <c r="A200" s="4" t="s">
        <v>197</v>
      </c>
      <c r="B200" s="5">
        <v>9223</v>
      </c>
    </row>
    <row r="201" spans="1:2" x14ac:dyDescent="0.3">
      <c r="A201" s="4" t="s">
        <v>198</v>
      </c>
      <c r="B201" s="5">
        <v>8945</v>
      </c>
    </row>
    <row r="202" spans="1:2" x14ac:dyDescent="0.3">
      <c r="A202" s="4" t="s">
        <v>199</v>
      </c>
      <c r="B202" s="5">
        <v>8804</v>
      </c>
    </row>
    <row r="203" spans="1:2" x14ac:dyDescent="0.3">
      <c r="A203" s="4" t="s">
        <v>200</v>
      </c>
      <c r="B203" s="5">
        <v>8350</v>
      </c>
    </row>
    <row r="204" spans="1:2" x14ac:dyDescent="0.3">
      <c r="A204" s="4" t="s">
        <v>201</v>
      </c>
      <c r="B204" s="5">
        <v>7964</v>
      </c>
    </row>
    <row r="205" spans="1:2" x14ac:dyDescent="0.3">
      <c r="A205" s="4" t="s">
        <v>202</v>
      </c>
      <c r="B205" s="5">
        <v>7558</v>
      </c>
    </row>
    <row r="206" spans="1:2" x14ac:dyDescent="0.3">
      <c r="A206" s="4" t="s">
        <v>203</v>
      </c>
      <c r="B206" s="5">
        <v>8288</v>
      </c>
    </row>
    <row r="207" spans="1:2" x14ac:dyDescent="0.3">
      <c r="A207" s="4" t="s">
        <v>204</v>
      </c>
      <c r="B207" s="5">
        <v>8198</v>
      </c>
    </row>
    <row r="208" spans="1:2" x14ac:dyDescent="0.3">
      <c r="A208" s="4" t="s">
        <v>205</v>
      </c>
      <c r="B208" s="5">
        <v>8279</v>
      </c>
    </row>
    <row r="209" spans="1:2" x14ac:dyDescent="0.3">
      <c r="A209" s="4" t="s">
        <v>206</v>
      </c>
      <c r="B209" s="5">
        <v>9034</v>
      </c>
    </row>
    <row r="210" spans="1:2" x14ac:dyDescent="0.3">
      <c r="A210" s="4" t="s">
        <v>207</v>
      </c>
      <c r="B210" s="5">
        <v>9309</v>
      </c>
    </row>
    <row r="211" spans="1:2" x14ac:dyDescent="0.3">
      <c r="A211" s="4" t="s">
        <v>208</v>
      </c>
      <c r="B211" s="5">
        <v>9215</v>
      </c>
    </row>
    <row r="212" spans="1:2" x14ac:dyDescent="0.3">
      <c r="A212" s="4" t="s">
        <v>209</v>
      </c>
      <c r="B212" s="5">
        <v>8886</v>
      </c>
    </row>
    <row r="213" spans="1:2" x14ac:dyDescent="0.3">
      <c r="A213" s="4" t="s">
        <v>210</v>
      </c>
      <c r="B213" s="5">
        <v>8098</v>
      </c>
    </row>
    <row r="214" spans="1:2" x14ac:dyDescent="0.3">
      <c r="A214" s="4" t="s">
        <v>211</v>
      </c>
      <c r="B214" s="5">
        <v>8143</v>
      </c>
    </row>
    <row r="215" spans="1:2" x14ac:dyDescent="0.3">
      <c r="A215" s="4" t="s">
        <v>212</v>
      </c>
      <c r="B215" s="5">
        <v>8393</v>
      </c>
    </row>
    <row r="216" spans="1:2" x14ac:dyDescent="0.3">
      <c r="A216" s="4" t="s">
        <v>213</v>
      </c>
      <c r="B216" s="5">
        <v>8403</v>
      </c>
    </row>
    <row r="217" spans="1:2" x14ac:dyDescent="0.3">
      <c r="A217" s="4" t="s">
        <v>214</v>
      </c>
      <c r="B217" s="5">
        <v>8667</v>
      </c>
    </row>
    <row r="218" spans="1:2" x14ac:dyDescent="0.3">
      <c r="A218" s="4" t="s">
        <v>215</v>
      </c>
      <c r="B218" s="5">
        <v>8547</v>
      </c>
    </row>
    <row r="219" spans="1:2" x14ac:dyDescent="0.3">
      <c r="A219" s="4" t="s">
        <v>216</v>
      </c>
      <c r="B219" s="5">
        <v>8659</v>
      </c>
    </row>
    <row r="220" spans="1:2" x14ac:dyDescent="0.3">
      <c r="A220" s="4" t="s">
        <v>217</v>
      </c>
      <c r="B220" s="5">
        <v>9096</v>
      </c>
    </row>
    <row r="221" spans="1:2" x14ac:dyDescent="0.3">
      <c r="A221" s="4" t="s">
        <v>218</v>
      </c>
      <c r="B221" s="5">
        <v>9061</v>
      </c>
    </row>
    <row r="222" spans="1:2" x14ac:dyDescent="0.3">
      <c r="A222" s="4" t="s">
        <v>219</v>
      </c>
      <c r="B222" s="5">
        <v>8696</v>
      </c>
    </row>
    <row r="223" spans="1:2" x14ac:dyDescent="0.3">
      <c r="A223" s="4" t="s">
        <v>220</v>
      </c>
      <c r="B223" s="5">
        <v>8762</v>
      </c>
    </row>
    <row r="224" spans="1:2" x14ac:dyDescent="0.3">
      <c r="A224" s="4" t="s">
        <v>221</v>
      </c>
      <c r="B224" s="5">
        <v>8853</v>
      </c>
    </row>
    <row r="225" spans="1:2" x14ac:dyDescent="0.3">
      <c r="A225" s="4" t="s">
        <v>222</v>
      </c>
      <c r="B225" s="5">
        <v>8742</v>
      </c>
    </row>
    <row r="226" spans="1:2" x14ac:dyDescent="0.3">
      <c r="A226" s="4" t="s">
        <v>223</v>
      </c>
      <c r="B226" s="5">
        <v>7929</v>
      </c>
    </row>
    <row r="227" spans="1:2" x14ac:dyDescent="0.3">
      <c r="A227" s="4" t="s">
        <v>224</v>
      </c>
      <c r="B227" s="5">
        <v>8056</v>
      </c>
    </row>
    <row r="228" spans="1:2" x14ac:dyDescent="0.3">
      <c r="A228" s="4" t="s">
        <v>225</v>
      </c>
      <c r="B228" s="5">
        <v>8273</v>
      </c>
    </row>
    <row r="229" spans="1:2" x14ac:dyDescent="0.3">
      <c r="A229" s="4" t="s">
        <v>226</v>
      </c>
      <c r="B229" s="5">
        <v>8695</v>
      </c>
    </row>
    <row r="230" spans="1:2" x14ac:dyDescent="0.3">
      <c r="A230" s="4" t="s">
        <v>227</v>
      </c>
      <c r="B230" s="5">
        <v>9231</v>
      </c>
    </row>
    <row r="231" spans="1:2" x14ac:dyDescent="0.3">
      <c r="A231" s="4" t="s">
        <v>228</v>
      </c>
      <c r="B231" s="5">
        <v>9006</v>
      </c>
    </row>
    <row r="232" spans="1:2" x14ac:dyDescent="0.3">
      <c r="A232" s="4" t="s">
        <v>229</v>
      </c>
      <c r="B232" s="5">
        <v>8695</v>
      </c>
    </row>
    <row r="233" spans="1:2" x14ac:dyDescent="0.3">
      <c r="A233" s="4" t="s">
        <v>230</v>
      </c>
      <c r="B233" s="5">
        <v>7982</v>
      </c>
    </row>
    <row r="234" spans="1:2" x14ac:dyDescent="0.3">
      <c r="A234" s="4" t="s">
        <v>231</v>
      </c>
      <c r="B234" s="5">
        <v>7971</v>
      </c>
    </row>
    <row r="235" spans="1:2" x14ac:dyDescent="0.3">
      <c r="A235" s="4" t="s">
        <v>232</v>
      </c>
      <c r="B235" s="5">
        <v>8515</v>
      </c>
    </row>
    <row r="236" spans="1:2" x14ac:dyDescent="0.3">
      <c r="A236" s="4" t="s">
        <v>233</v>
      </c>
      <c r="B236" s="5">
        <v>8760</v>
      </c>
    </row>
    <row r="237" spans="1:2" x14ac:dyDescent="0.3">
      <c r="A237" s="4" t="s">
        <v>234</v>
      </c>
      <c r="B237" s="5">
        <v>8632</v>
      </c>
    </row>
    <row r="238" spans="1:2" x14ac:dyDescent="0.3">
      <c r="A238" s="4" t="s">
        <v>235</v>
      </c>
      <c r="B238" s="5">
        <v>8948</v>
      </c>
    </row>
    <row r="239" spans="1:2" x14ac:dyDescent="0.3">
      <c r="A239" s="4" t="s">
        <v>236</v>
      </c>
      <c r="B239" s="5">
        <v>9417</v>
      </c>
    </row>
    <row r="240" spans="1:2" x14ac:dyDescent="0.3">
      <c r="A240" s="4" t="s">
        <v>237</v>
      </c>
      <c r="B240" s="5">
        <v>10342</v>
      </c>
    </row>
    <row r="241" spans="1:2" x14ac:dyDescent="0.3">
      <c r="A241" s="4" t="s">
        <v>238</v>
      </c>
      <c r="B241" s="5">
        <v>9149</v>
      </c>
    </row>
    <row r="242" spans="1:2" x14ac:dyDescent="0.3">
      <c r="A242" s="4" t="s">
        <v>239</v>
      </c>
      <c r="B242" s="5">
        <v>9263</v>
      </c>
    </row>
    <row r="243" spans="1:2" x14ac:dyDescent="0.3">
      <c r="A243" s="4" t="s">
        <v>240</v>
      </c>
      <c r="B243" s="5">
        <v>9272</v>
      </c>
    </row>
    <row r="244" spans="1:2" x14ac:dyDescent="0.3">
      <c r="A244" s="4" t="s">
        <v>241</v>
      </c>
      <c r="B244" s="5">
        <v>8465</v>
      </c>
    </row>
    <row r="245" spans="1:2" x14ac:dyDescent="0.3">
      <c r="A245" s="4" t="s">
        <v>242</v>
      </c>
      <c r="B245" s="5">
        <v>8004</v>
      </c>
    </row>
    <row r="246" spans="1:2" x14ac:dyDescent="0.3">
      <c r="A246" s="4" t="s">
        <v>243</v>
      </c>
      <c r="B246" s="5">
        <v>8789</v>
      </c>
    </row>
    <row r="247" spans="1:2" x14ac:dyDescent="0.3">
      <c r="A247" s="4" t="s">
        <v>244</v>
      </c>
      <c r="B247" s="5">
        <v>8712</v>
      </c>
    </row>
    <row r="248" spans="1:2" x14ac:dyDescent="0.3">
      <c r="A248" s="4" t="s">
        <v>245</v>
      </c>
      <c r="B248" s="5">
        <v>9554</v>
      </c>
    </row>
    <row r="249" spans="1:2" x14ac:dyDescent="0.3">
      <c r="A249" s="4" t="s">
        <v>246</v>
      </c>
      <c r="B249" s="5">
        <v>8976</v>
      </c>
    </row>
    <row r="250" spans="1:2" x14ac:dyDescent="0.3">
      <c r="A250" s="4" t="s">
        <v>247</v>
      </c>
      <c r="B250" s="5">
        <v>9033</v>
      </c>
    </row>
    <row r="251" spans="1:2" x14ac:dyDescent="0.3">
      <c r="A251" s="4" t="s">
        <v>248</v>
      </c>
      <c r="B251" s="5">
        <v>8694</v>
      </c>
    </row>
    <row r="252" spans="1:2" x14ac:dyDescent="0.3">
      <c r="A252" s="4" t="s">
        <v>249</v>
      </c>
      <c r="B252" s="5">
        <v>8000</v>
      </c>
    </row>
    <row r="253" spans="1:2" x14ac:dyDescent="0.3">
      <c r="A253" s="4" t="s">
        <v>250</v>
      </c>
      <c r="B253" s="5">
        <v>7740</v>
      </c>
    </row>
    <row r="254" spans="1:2" x14ac:dyDescent="0.3">
      <c r="A254" s="4" t="s">
        <v>251</v>
      </c>
      <c r="B254" s="5">
        <v>7822</v>
      </c>
    </row>
    <row r="255" spans="1:2" x14ac:dyDescent="0.3">
      <c r="A255" s="4" t="s">
        <v>252</v>
      </c>
      <c r="B255" s="5">
        <v>7667</v>
      </c>
    </row>
    <row r="256" spans="1:2" x14ac:dyDescent="0.3">
      <c r="A256" s="4" t="s">
        <v>253</v>
      </c>
      <c r="B256" s="5">
        <v>7357</v>
      </c>
    </row>
    <row r="257" spans="1:2" x14ac:dyDescent="0.3">
      <c r="A257" s="4" t="s">
        <v>254</v>
      </c>
      <c r="B257" s="5">
        <v>6881</v>
      </c>
    </row>
    <row r="258" spans="1:2" x14ac:dyDescent="0.3">
      <c r="A258" s="4" t="s">
        <v>255</v>
      </c>
      <c r="B258" s="5">
        <v>7270</v>
      </c>
    </row>
    <row r="259" spans="1:2" x14ac:dyDescent="0.3">
      <c r="A259" s="4" t="s">
        <v>256</v>
      </c>
      <c r="B259" s="5">
        <v>8463</v>
      </c>
    </row>
    <row r="260" spans="1:2" x14ac:dyDescent="0.3">
      <c r="A260" s="4" t="s">
        <v>257</v>
      </c>
      <c r="B260" s="5">
        <v>9076</v>
      </c>
    </row>
    <row r="261" spans="1:2" x14ac:dyDescent="0.3">
      <c r="A261" s="4" t="s">
        <v>258</v>
      </c>
      <c r="B261" s="5">
        <v>8152</v>
      </c>
    </row>
    <row r="262" spans="1:2" x14ac:dyDescent="0.3">
      <c r="A262" s="4" t="s">
        <v>259</v>
      </c>
      <c r="B262" s="5">
        <v>8663</v>
      </c>
    </row>
    <row r="263" spans="1:2" x14ac:dyDescent="0.3">
      <c r="A263" s="4" t="s">
        <v>260</v>
      </c>
      <c r="B263" s="5">
        <v>9612</v>
      </c>
    </row>
    <row r="264" spans="1:2" x14ac:dyDescent="0.3">
      <c r="A264" s="4" t="s">
        <v>261</v>
      </c>
      <c r="B264" s="5">
        <v>9701</v>
      </c>
    </row>
    <row r="265" spans="1:2" x14ac:dyDescent="0.3">
      <c r="A265" s="4" t="s">
        <v>262</v>
      </c>
      <c r="B265" s="5">
        <v>9784</v>
      </c>
    </row>
    <row r="266" spans="1:2" x14ac:dyDescent="0.3">
      <c r="A266" s="4" t="s">
        <v>263</v>
      </c>
      <c r="B266" s="5">
        <v>10870</v>
      </c>
    </row>
    <row r="267" spans="1:2" x14ac:dyDescent="0.3">
      <c r="A267" s="4" t="s">
        <v>264</v>
      </c>
      <c r="B267" s="5">
        <v>10356</v>
      </c>
    </row>
    <row r="268" spans="1:2" x14ac:dyDescent="0.3">
      <c r="A268" s="4" t="s">
        <v>265</v>
      </c>
      <c r="B268" s="5">
        <v>10066</v>
      </c>
    </row>
    <row r="269" spans="1:2" x14ac:dyDescent="0.3">
      <c r="A269" s="4" t="s">
        <v>266</v>
      </c>
      <c r="B269" s="5">
        <v>10783</v>
      </c>
    </row>
    <row r="270" spans="1:2" x14ac:dyDescent="0.3">
      <c r="A270" s="4" t="s">
        <v>267</v>
      </c>
      <c r="B270" s="5">
        <v>11089</v>
      </c>
    </row>
    <row r="271" spans="1:2" x14ac:dyDescent="0.3">
      <c r="A271" s="4" t="s">
        <v>268</v>
      </c>
      <c r="B271" s="5">
        <v>10849</v>
      </c>
    </row>
    <row r="272" spans="1:2" x14ac:dyDescent="0.3">
      <c r="A272" s="4" t="s">
        <v>269</v>
      </c>
      <c r="B272" s="5">
        <v>10914</v>
      </c>
    </row>
    <row r="273" spans="1:2" x14ac:dyDescent="0.3">
      <c r="A273" s="4" t="s">
        <v>270</v>
      </c>
      <c r="B273" s="5">
        <v>10478</v>
      </c>
    </row>
    <row r="274" spans="1:2" x14ac:dyDescent="0.3">
      <c r="A274" s="4" t="s">
        <v>271</v>
      </c>
      <c r="B274" s="5">
        <v>10530</v>
      </c>
    </row>
    <row r="275" spans="1:2" x14ac:dyDescent="0.3">
      <c r="A275" s="4" t="s">
        <v>272</v>
      </c>
      <c r="B275" s="5">
        <v>11031</v>
      </c>
    </row>
    <row r="276" spans="1:2" x14ac:dyDescent="0.3">
      <c r="A276" s="4" t="s">
        <v>273</v>
      </c>
      <c r="B276" s="5">
        <v>11834.09</v>
      </c>
    </row>
    <row r="277" spans="1:2" x14ac:dyDescent="0.3">
      <c r="A277" s="4" t="s">
        <v>274</v>
      </c>
      <c r="B277" s="5">
        <v>12420.22</v>
      </c>
    </row>
    <row r="278" spans="1:2" x14ac:dyDescent="0.3">
      <c r="A278" s="4" t="s">
        <v>275</v>
      </c>
      <c r="B278" s="5">
        <v>12418.75</v>
      </c>
    </row>
    <row r="279" spans="1:2" x14ac:dyDescent="0.3">
      <c r="A279" s="4" t="s">
        <v>276</v>
      </c>
      <c r="B279" s="5">
        <v>12020.2</v>
      </c>
    </row>
    <row r="280" spans="1:2" x14ac:dyDescent="0.3">
      <c r="A280" s="4" t="s">
        <v>277</v>
      </c>
      <c r="B280" s="5">
        <v>12765.46</v>
      </c>
    </row>
    <row r="281" spans="1:2" x14ac:dyDescent="0.3">
      <c r="A281" s="4" t="s">
        <v>278</v>
      </c>
      <c r="B281" s="5">
        <v>14260.57</v>
      </c>
    </row>
    <row r="282" spans="1:2" x14ac:dyDescent="0.3">
      <c r="A282" s="4" t="s">
        <v>279</v>
      </c>
      <c r="B282" s="5">
        <v>14321.89</v>
      </c>
    </row>
    <row r="283" spans="1:2" x14ac:dyDescent="0.3">
      <c r="A283" s="4" t="s">
        <v>280</v>
      </c>
      <c r="B283" s="5">
        <v>14329.95</v>
      </c>
    </row>
    <row r="284" spans="1:2" x14ac:dyDescent="0.3">
      <c r="A284" s="4" t="s">
        <v>281</v>
      </c>
      <c r="B284" s="5">
        <v>14420.63</v>
      </c>
    </row>
    <row r="285" spans="1:2" x14ac:dyDescent="0.3">
      <c r="A285" s="4" t="s">
        <v>282</v>
      </c>
      <c r="B285" s="5">
        <v>12851.91</v>
      </c>
    </row>
    <row r="286" spans="1:2" x14ac:dyDescent="0.3">
      <c r="A286" s="4" t="s">
        <v>283</v>
      </c>
      <c r="B286" s="5">
        <v>12170.73</v>
      </c>
    </row>
    <row r="287" spans="1:2" x14ac:dyDescent="0.3">
      <c r="A287" s="4" t="s">
        <v>284</v>
      </c>
      <c r="B287" s="5">
        <v>13255.74</v>
      </c>
    </row>
    <row r="288" spans="1:2" x14ac:dyDescent="0.3">
      <c r="A288" s="4" t="s">
        <v>285</v>
      </c>
      <c r="B288" s="5">
        <v>12848.01</v>
      </c>
    </row>
    <row r="289" spans="1:2" x14ac:dyDescent="0.3">
      <c r="A289" s="4" t="s">
        <v>286</v>
      </c>
      <c r="B289" s="5">
        <v>13326.62</v>
      </c>
    </row>
    <row r="290" spans="1:2" x14ac:dyDescent="0.3">
      <c r="A290" s="4" t="s">
        <v>287</v>
      </c>
      <c r="B290" s="5">
        <v>14620.02</v>
      </c>
    </row>
    <row r="291" spans="1:2" x14ac:dyDescent="0.3">
      <c r="A291" s="4" t="s">
        <v>288</v>
      </c>
      <c r="B291" s="5">
        <v>14934.85</v>
      </c>
    </row>
    <row r="292" spans="1:2" x14ac:dyDescent="0.3">
      <c r="A292" s="4" t="s">
        <v>289</v>
      </c>
      <c r="B292" s="5">
        <v>14619.96</v>
      </c>
    </row>
    <row r="293" spans="1:2" x14ac:dyDescent="0.3">
      <c r="A293" s="4" t="s">
        <v>290</v>
      </c>
      <c r="B293" s="5">
        <v>16145.97</v>
      </c>
    </row>
    <row r="294" spans="1:2" x14ac:dyDescent="0.3">
      <c r="A294" s="4" t="s">
        <v>291</v>
      </c>
      <c r="B294" s="5">
        <v>15873.61</v>
      </c>
    </row>
    <row r="295" spans="1:2" x14ac:dyDescent="0.3">
      <c r="A295" s="4" t="s">
        <v>292</v>
      </c>
      <c r="B295" s="5">
        <v>15845.04</v>
      </c>
    </row>
    <row r="296" spans="1:2" x14ac:dyDescent="0.3">
      <c r="A296" s="4" t="s">
        <v>293</v>
      </c>
      <c r="B296" s="5">
        <v>15951.72</v>
      </c>
    </row>
    <row r="297" spans="1:2" x14ac:dyDescent="0.3">
      <c r="A297" s="4" t="s">
        <v>294</v>
      </c>
      <c r="B297" s="5">
        <v>16025.54</v>
      </c>
    </row>
    <row r="298" spans="1:2" x14ac:dyDescent="0.3">
      <c r="A298" s="4" t="s">
        <v>295</v>
      </c>
      <c r="B298" s="5">
        <v>16685.009999999998</v>
      </c>
    </row>
    <row r="299" spans="1:2" x14ac:dyDescent="0.3">
      <c r="A299" s="4" t="s">
        <v>296</v>
      </c>
      <c r="B299" s="5">
        <v>16755.28</v>
      </c>
    </row>
    <row r="300" spans="1:2" x14ac:dyDescent="0.3">
      <c r="A300" s="4" t="s">
        <v>297</v>
      </c>
      <c r="B300" s="5">
        <v>16582.46</v>
      </c>
    </row>
    <row r="301" spans="1:2" x14ac:dyDescent="0.3">
      <c r="A301" s="4" t="s">
        <v>298</v>
      </c>
      <c r="B301" s="5">
        <v>17194.95</v>
      </c>
    </row>
    <row r="302" spans="1:2" x14ac:dyDescent="0.3">
      <c r="A302" s="4" t="s">
        <v>299</v>
      </c>
      <c r="B302" s="5">
        <v>17570.5</v>
      </c>
    </row>
    <row r="303" spans="1:2" x14ac:dyDescent="0.3">
      <c r="A303" s="4" t="s">
        <v>300</v>
      </c>
      <c r="B303" s="5">
        <v>17719.080000000002</v>
      </c>
    </row>
    <row r="304" spans="1:2" x14ac:dyDescent="0.3">
      <c r="A304" s="4" t="s">
        <v>301</v>
      </c>
      <c r="B304" s="5">
        <v>18882</v>
      </c>
    </row>
    <row r="305" spans="1:2" x14ac:dyDescent="0.3">
      <c r="A305" s="4" t="s">
        <v>302</v>
      </c>
      <c r="B305" s="5">
        <v>18526.919999999998</v>
      </c>
    </row>
    <row r="306" spans="1:2" x14ac:dyDescent="0.3">
      <c r="A306" s="4" t="s">
        <v>303</v>
      </c>
      <c r="B306" s="5">
        <v>16922.439999999999</v>
      </c>
    </row>
    <row r="307" spans="1:2" x14ac:dyDescent="0.3">
      <c r="A307" s="4" t="s">
        <v>304</v>
      </c>
      <c r="B307" s="5">
        <v>11782.95</v>
      </c>
    </row>
    <row r="308" spans="1:2" x14ac:dyDescent="0.3">
      <c r="A308" s="4" t="s">
        <v>305</v>
      </c>
      <c r="B308" s="5">
        <v>13018.29</v>
      </c>
    </row>
    <row r="309" spans="1:2" x14ac:dyDescent="0.3">
      <c r="A309" s="4" t="s">
        <v>306</v>
      </c>
      <c r="B309" s="5">
        <v>14203.13</v>
      </c>
    </row>
    <row r="310" spans="1:2" x14ac:dyDescent="0.3">
      <c r="A310" s="4" t="s">
        <v>307</v>
      </c>
      <c r="B310" s="5">
        <v>15528.84</v>
      </c>
    </row>
    <row r="311" spans="1:2" x14ac:dyDescent="0.3">
      <c r="A311" s="4" t="s">
        <v>308</v>
      </c>
      <c r="B311" s="5">
        <v>16793.810000000001</v>
      </c>
    </row>
    <row r="312" spans="1:2" x14ac:dyDescent="0.3">
      <c r="A312" s="4" t="s">
        <v>309</v>
      </c>
      <c r="B312" s="5">
        <v>16220.21</v>
      </c>
    </row>
    <row r="313" spans="1:2" x14ac:dyDescent="0.3">
      <c r="A313" s="4" t="s">
        <v>310</v>
      </c>
      <c r="B313" s="5">
        <v>15471.32</v>
      </c>
    </row>
    <row r="314" spans="1:2" x14ac:dyDescent="0.3">
      <c r="A314" s="4" t="s">
        <v>311</v>
      </c>
      <c r="B314" s="5">
        <v>15388.1</v>
      </c>
    </row>
    <row r="315" spans="1:2" x14ac:dyDescent="0.3">
      <c r="A315" s="4" t="s">
        <v>312</v>
      </c>
      <c r="B315" s="5">
        <v>17881.900000000001</v>
      </c>
    </row>
    <row r="316" spans="1:2" x14ac:dyDescent="0.3">
      <c r="A316" s="4" t="s">
        <v>313</v>
      </c>
      <c r="B316" s="5">
        <v>19566.37</v>
      </c>
    </row>
    <row r="317" spans="1:2" x14ac:dyDescent="0.3">
      <c r="A317" s="4" t="s">
        <v>314</v>
      </c>
      <c r="B317" s="5">
        <v>19021.64</v>
      </c>
    </row>
    <row r="318" spans="1:2" x14ac:dyDescent="0.3">
      <c r="A318" s="4" t="s">
        <v>315</v>
      </c>
      <c r="B318" s="5">
        <v>18298.13</v>
      </c>
    </row>
    <row r="319" spans="1:2" x14ac:dyDescent="0.3">
      <c r="A319" s="4" t="s">
        <v>316</v>
      </c>
      <c r="B319" s="5">
        <v>19409.95</v>
      </c>
    </row>
    <row r="320" spans="1:2" x14ac:dyDescent="0.3">
      <c r="A320" s="4" t="s">
        <v>317</v>
      </c>
      <c r="B320" s="5">
        <v>19973.79</v>
      </c>
    </row>
    <row r="321" spans="1:2" x14ac:dyDescent="0.3">
      <c r="A321" s="4" t="s">
        <v>318</v>
      </c>
      <c r="B321" s="5">
        <v>21208.94</v>
      </c>
    </row>
    <row r="322" spans="1:2" x14ac:dyDescent="0.3">
      <c r="A322" s="4" t="s">
        <v>319</v>
      </c>
      <c r="B322" s="5">
        <v>21349.31</v>
      </c>
    </row>
    <row r="323" spans="1:2" x14ac:dyDescent="0.3">
      <c r="A323" s="4" t="s">
        <v>320</v>
      </c>
      <c r="B323" s="5">
        <v>20526.62</v>
      </c>
    </row>
    <row r="324" spans="1:2" x14ac:dyDescent="0.3">
      <c r="A324" s="4" t="s">
        <v>321</v>
      </c>
      <c r="B324" s="5">
        <v>19807.75</v>
      </c>
    </row>
    <row r="325" spans="1:2" x14ac:dyDescent="0.3">
      <c r="A325" s="4" t="s">
        <v>322</v>
      </c>
      <c r="B325" s="5">
        <v>18327.72</v>
      </c>
    </row>
    <row r="326" spans="1:2" x14ac:dyDescent="0.3">
      <c r="A326" s="4" t="s">
        <v>323</v>
      </c>
      <c r="B326" s="5">
        <v>17179.419999999998</v>
      </c>
    </row>
    <row r="327" spans="1:2" x14ac:dyDescent="0.3">
      <c r="A327" s="4" t="s">
        <v>324</v>
      </c>
      <c r="B327" s="5">
        <v>16868.95</v>
      </c>
    </row>
    <row r="328" spans="1:2" x14ac:dyDescent="0.3">
      <c r="A328" s="4" t="s">
        <v>325</v>
      </c>
      <c r="B328" s="5">
        <v>17503.96</v>
      </c>
    </row>
    <row r="329" spans="1:2" x14ac:dyDescent="0.3">
      <c r="A329" s="4" t="s">
        <v>326</v>
      </c>
      <c r="B329" s="5">
        <v>18843.84</v>
      </c>
    </row>
    <row r="330" spans="1:2" x14ac:dyDescent="0.3">
      <c r="A330" s="4" t="s">
        <v>327</v>
      </c>
      <c r="B330" s="5">
        <v>19172.009999999998</v>
      </c>
    </row>
    <row r="331" spans="1:2" x14ac:dyDescent="0.3">
      <c r="A331" s="4" t="s">
        <v>328</v>
      </c>
      <c r="B331" s="5">
        <v>20212.490000000002</v>
      </c>
    </row>
    <row r="332" spans="1:2" x14ac:dyDescent="0.3">
      <c r="A332" s="4" t="s">
        <v>329</v>
      </c>
      <c r="B332" s="5">
        <v>18087.400000000001</v>
      </c>
    </row>
    <row r="333" spans="1:2" x14ac:dyDescent="0.3">
      <c r="A333" s="4" t="s">
        <v>330</v>
      </c>
      <c r="B333" s="5">
        <v>18683.82</v>
      </c>
    </row>
    <row r="334" spans="1:2" x14ac:dyDescent="0.3">
      <c r="A334" s="4" t="s">
        <v>331</v>
      </c>
      <c r="B334" s="5">
        <v>16503.89</v>
      </c>
    </row>
    <row r="335" spans="1:2" x14ac:dyDescent="0.3">
      <c r="A335" s="4" t="s">
        <v>332</v>
      </c>
      <c r="B335" s="5">
        <v>17253.54</v>
      </c>
    </row>
    <row r="336" spans="1:2" x14ac:dyDescent="0.3">
      <c r="A336" s="4" t="s">
        <v>333</v>
      </c>
      <c r="B336" s="5">
        <v>18345.64</v>
      </c>
    </row>
    <row r="337" spans="1:2" x14ac:dyDescent="0.3">
      <c r="A337" s="4" t="s">
        <v>334</v>
      </c>
      <c r="B337" s="5">
        <v>18434.04</v>
      </c>
    </row>
    <row r="338" spans="1:2" x14ac:dyDescent="0.3">
      <c r="A338" s="4" t="s">
        <v>335</v>
      </c>
      <c r="B338" s="5">
        <v>19414.82</v>
      </c>
    </row>
    <row r="339" spans="1:2" x14ac:dyDescent="0.3">
      <c r="A339" s="4" t="s">
        <v>336</v>
      </c>
      <c r="B339" s="5">
        <v>18988.86</v>
      </c>
    </row>
    <row r="340" spans="1:2" x14ac:dyDescent="0.3">
      <c r="A340" s="4" t="s">
        <v>337</v>
      </c>
      <c r="B340" s="5">
        <v>18504.38</v>
      </c>
    </row>
    <row r="341" spans="1:2" x14ac:dyDescent="0.3">
      <c r="A341" s="4" t="s">
        <v>338</v>
      </c>
      <c r="B341" s="5">
        <v>19130.38</v>
      </c>
    </row>
    <row r="342" spans="1:2" x14ac:dyDescent="0.3">
      <c r="A342" s="4" t="s">
        <v>339</v>
      </c>
      <c r="B342" s="5">
        <v>17687.560000000001</v>
      </c>
    </row>
    <row r="343" spans="1:2" x14ac:dyDescent="0.3">
      <c r="A343" s="4" t="s">
        <v>340</v>
      </c>
      <c r="B343" s="5">
        <v>17067.78</v>
      </c>
    </row>
    <row r="344" spans="1:2" x14ac:dyDescent="0.3">
      <c r="A344" s="4" t="s">
        <v>341</v>
      </c>
      <c r="B344" s="5">
        <v>17348.12</v>
      </c>
    </row>
    <row r="345" spans="1:2" x14ac:dyDescent="0.3">
      <c r="A345" s="4" t="s">
        <v>342</v>
      </c>
      <c r="B345" s="5">
        <v>17854.77</v>
      </c>
    </row>
    <row r="346" spans="1:2" x14ac:dyDescent="0.3">
      <c r="A346" s="4" t="s">
        <v>343</v>
      </c>
      <c r="B346" s="5">
        <v>19421.509999999998</v>
      </c>
    </row>
    <row r="347" spans="1:2" x14ac:dyDescent="0.3">
      <c r="A347" s="4" t="s">
        <v>344</v>
      </c>
      <c r="B347" s="5">
        <v>20139.82</v>
      </c>
    </row>
    <row r="348" spans="1:2" x14ac:dyDescent="0.3">
      <c r="A348" s="4" t="s">
        <v>345</v>
      </c>
      <c r="B348" s="5">
        <v>19182.16</v>
      </c>
    </row>
    <row r="349" spans="1:2" x14ac:dyDescent="0.3">
      <c r="A349" s="4" t="s">
        <v>346</v>
      </c>
      <c r="B349" s="5">
        <v>19415.09</v>
      </c>
    </row>
    <row r="350" spans="1:2" x14ac:dyDescent="0.3">
      <c r="A350" s="4" t="s">
        <v>347</v>
      </c>
      <c r="B350" s="5">
        <v>18834.53</v>
      </c>
    </row>
    <row r="351" spans="1:2" x14ac:dyDescent="0.3">
      <c r="A351" s="4" t="s">
        <v>348</v>
      </c>
      <c r="B351" s="5">
        <v>21096.05</v>
      </c>
    </row>
    <row r="352" spans="1:2" x14ac:dyDescent="0.3">
      <c r="A352" s="4" t="s">
        <v>349</v>
      </c>
      <c r="B352" s="5">
        <v>22217.05</v>
      </c>
    </row>
    <row r="353" spans="1:2" x14ac:dyDescent="0.3">
      <c r="A353" s="4" t="s">
        <v>350</v>
      </c>
      <c r="B353" s="5">
        <v>21295.5</v>
      </c>
    </row>
    <row r="354" spans="1:2" x14ac:dyDescent="0.3">
      <c r="A354" s="4" t="s">
        <v>351</v>
      </c>
      <c r="B354" s="5">
        <v>21489.69</v>
      </c>
    </row>
    <row r="355" spans="1:2" x14ac:dyDescent="0.3">
      <c r="A355" s="4" t="s">
        <v>352</v>
      </c>
      <c r="B355" s="5">
        <v>21314.71</v>
      </c>
    </row>
    <row r="356" spans="1:2" x14ac:dyDescent="0.3">
      <c r="A356" s="4" t="s">
        <v>353</v>
      </c>
      <c r="B356" s="5">
        <v>21181.65</v>
      </c>
    </row>
    <row r="357" spans="1:2" x14ac:dyDescent="0.3">
      <c r="A357" s="4" t="s">
        <v>354</v>
      </c>
      <c r="B357" s="5">
        <v>20522.830000000002</v>
      </c>
    </row>
    <row r="358" spans="1:2" x14ac:dyDescent="0.3">
      <c r="A358" s="4" t="s">
        <v>355</v>
      </c>
      <c r="B358" s="5">
        <v>20856.37</v>
      </c>
    </row>
    <row r="359" spans="1:2" x14ac:dyDescent="0.3">
      <c r="A359" s="4" t="s">
        <v>356</v>
      </c>
      <c r="B359" s="5">
        <v>21513.71</v>
      </c>
    </row>
    <row r="360" spans="1:2" x14ac:dyDescent="0.3">
      <c r="A360" s="4" t="s">
        <v>357</v>
      </c>
      <c r="B360" s="5">
        <v>22915.040000000001</v>
      </c>
    </row>
    <row r="361" spans="1:2" x14ac:dyDescent="0.3">
      <c r="A361" s="4" t="s">
        <v>358</v>
      </c>
      <c r="B361" s="5">
        <v>22167.19</v>
      </c>
    </row>
    <row r="362" spans="1:2" x14ac:dyDescent="0.3">
      <c r="A362" s="4" t="s">
        <v>359</v>
      </c>
      <c r="B362" s="5">
        <v>21837.95</v>
      </c>
    </row>
    <row r="363" spans="1:2" x14ac:dyDescent="0.3">
      <c r="A363" s="4" t="s">
        <v>360</v>
      </c>
      <c r="B363" s="5">
        <v>21265.47</v>
      </c>
    </row>
    <row r="364" spans="1:2" x14ac:dyDescent="0.3">
      <c r="A364" s="4" t="s">
        <v>361</v>
      </c>
      <c r="B364" s="5">
        <v>20411.03</v>
      </c>
    </row>
    <row r="365" spans="1:2" x14ac:dyDescent="0.3">
      <c r="A365" s="4" t="s">
        <v>362</v>
      </c>
      <c r="B365" s="5">
        <v>21395</v>
      </c>
    </row>
    <row r="366" spans="1:2" x14ac:dyDescent="0.3">
      <c r="A366" s="4" t="s">
        <v>363</v>
      </c>
      <c r="B366" s="5">
        <v>20799.14</v>
      </c>
    </row>
    <row r="367" spans="1:2" x14ac:dyDescent="0.3">
      <c r="A367" s="4" t="s">
        <v>364</v>
      </c>
      <c r="B367" s="5">
        <v>22039.56</v>
      </c>
    </row>
    <row r="368" spans="1:2" x14ac:dyDescent="0.3">
      <c r="A368" s="4" t="s">
        <v>365</v>
      </c>
      <c r="B368" s="5">
        <v>22600.69</v>
      </c>
    </row>
  </sheetData>
  <pageMargins left="0.7" right="0.7" top="0.75" bottom="0.75" header="0.3" footer="0.3"/>
  <pageSetup paperSize="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68"/>
  <sheetViews>
    <sheetView topLeftCell="A5" workbookViewId="0">
      <selection activeCell="C3" sqref="C3"/>
    </sheetView>
  </sheetViews>
  <sheetFormatPr defaultRowHeight="14.4" x14ac:dyDescent="0.3"/>
  <cols>
    <col min="1" max="1" width="9" customWidth="1"/>
    <col min="2" max="2" width="11" customWidth="1"/>
  </cols>
  <sheetData>
    <row r="1" spans="1:3" x14ac:dyDescent="0.3">
      <c r="A1" s="6" t="s">
        <v>373</v>
      </c>
      <c r="B1" s="1" t="s">
        <v>368</v>
      </c>
    </row>
    <row r="2" spans="1:3" x14ac:dyDescent="0.3">
      <c r="A2" s="6" t="s">
        <v>367</v>
      </c>
      <c r="C2">
        <f>STDEV(C20:C367)*SQRT(12)</f>
        <v>0.25516122802847696</v>
      </c>
    </row>
    <row r="3" spans="1:3" x14ac:dyDescent="0.3">
      <c r="C3">
        <f>STDEV(C44:C367)*SQRT(12)</f>
        <v>0.25144807727316826</v>
      </c>
    </row>
    <row r="4" spans="1:3" ht="30.6" x14ac:dyDescent="0.3">
      <c r="A4" s="2" t="s">
        <v>0</v>
      </c>
      <c r="B4" s="3" t="s">
        <v>1</v>
      </c>
    </row>
    <row r="5" spans="1:3" x14ac:dyDescent="0.3">
      <c r="A5" s="4" t="s">
        <v>2</v>
      </c>
      <c r="B5" s="5" t="s">
        <v>371</v>
      </c>
    </row>
    <row r="6" spans="1:3" x14ac:dyDescent="0.3">
      <c r="A6" s="4" t="s">
        <v>3</v>
      </c>
      <c r="B6" s="5" t="s">
        <v>371</v>
      </c>
    </row>
    <row r="7" spans="1:3" x14ac:dyDescent="0.3">
      <c r="A7" s="4" t="s">
        <v>4</v>
      </c>
      <c r="B7" s="5" t="s">
        <v>371</v>
      </c>
    </row>
    <row r="8" spans="1:3" x14ac:dyDescent="0.3">
      <c r="A8" s="4" t="s">
        <v>5</v>
      </c>
      <c r="B8" s="5" t="s">
        <v>371</v>
      </c>
    </row>
    <row r="9" spans="1:3" x14ac:dyDescent="0.3">
      <c r="A9" s="4" t="s">
        <v>6</v>
      </c>
      <c r="B9" s="5" t="s">
        <v>371</v>
      </c>
    </row>
    <row r="10" spans="1:3" x14ac:dyDescent="0.3">
      <c r="A10" s="4" t="s">
        <v>7</v>
      </c>
      <c r="B10" s="5" t="s">
        <v>371</v>
      </c>
    </row>
    <row r="11" spans="1:3" x14ac:dyDescent="0.3">
      <c r="A11" s="4" t="s">
        <v>8</v>
      </c>
      <c r="B11" s="5" t="s">
        <v>371</v>
      </c>
    </row>
    <row r="12" spans="1:3" x14ac:dyDescent="0.3">
      <c r="A12" s="4" t="s">
        <v>9</v>
      </c>
      <c r="B12" s="5" t="s">
        <v>371</v>
      </c>
    </row>
    <row r="13" spans="1:3" x14ac:dyDescent="0.3">
      <c r="A13" s="4" t="s">
        <v>10</v>
      </c>
      <c r="B13" s="5" t="s">
        <v>371</v>
      </c>
    </row>
    <row r="14" spans="1:3" x14ac:dyDescent="0.3">
      <c r="A14" s="4" t="s">
        <v>11</v>
      </c>
      <c r="B14" s="5" t="s">
        <v>371</v>
      </c>
    </row>
    <row r="15" spans="1:3" x14ac:dyDescent="0.3">
      <c r="A15" s="4" t="s">
        <v>12</v>
      </c>
      <c r="B15" s="5" t="s">
        <v>371</v>
      </c>
    </row>
    <row r="16" spans="1:3" x14ac:dyDescent="0.3">
      <c r="A16" s="4" t="s">
        <v>13</v>
      </c>
      <c r="B16" s="5">
        <v>1000</v>
      </c>
    </row>
    <row r="17" spans="1:3" x14ac:dyDescent="0.3">
      <c r="A17" s="4" t="s">
        <v>14</v>
      </c>
      <c r="B17" s="5">
        <v>1174</v>
      </c>
    </row>
    <row r="18" spans="1:3" x14ac:dyDescent="0.3">
      <c r="A18" s="4" t="s">
        <v>15</v>
      </c>
      <c r="B18" s="5">
        <v>1138</v>
      </c>
    </row>
    <row r="19" spans="1:3" x14ac:dyDescent="0.3">
      <c r="A19" s="4" t="s">
        <v>16</v>
      </c>
      <c r="B19" s="5">
        <v>1137</v>
      </c>
    </row>
    <row r="20" spans="1:3" x14ac:dyDescent="0.3">
      <c r="A20" s="4" t="s">
        <v>17</v>
      </c>
      <c r="B20" s="5">
        <v>1167</v>
      </c>
      <c r="C20">
        <f>(B20/B19)-1</f>
        <v>2.638522427440626E-2</v>
      </c>
    </row>
    <row r="21" spans="1:3" x14ac:dyDescent="0.3">
      <c r="A21" s="4" t="s">
        <v>18</v>
      </c>
      <c r="B21" s="5">
        <v>1262</v>
      </c>
      <c r="C21">
        <f t="shared" ref="C21:C84" si="0">(B21/B20)-1</f>
        <v>8.1405312767780735E-2</v>
      </c>
    </row>
    <row r="22" spans="1:3" x14ac:dyDescent="0.3">
      <c r="A22" s="4" t="s">
        <v>19</v>
      </c>
      <c r="B22" s="5">
        <v>1324</v>
      </c>
      <c r="C22">
        <f t="shared" si="0"/>
        <v>4.9128367670364437E-2</v>
      </c>
    </row>
    <row r="23" spans="1:3" x14ac:dyDescent="0.3">
      <c r="A23" s="4" t="s">
        <v>20</v>
      </c>
      <c r="B23" s="5">
        <v>1317</v>
      </c>
      <c r="C23">
        <f t="shared" si="0"/>
        <v>-5.287009063444148E-3</v>
      </c>
    </row>
    <row r="24" spans="1:3" x14ac:dyDescent="0.3">
      <c r="A24" s="4" t="s">
        <v>21</v>
      </c>
      <c r="B24" s="5">
        <v>1353</v>
      </c>
      <c r="C24">
        <f t="shared" si="0"/>
        <v>2.7334851936218652E-2</v>
      </c>
    </row>
    <row r="25" spans="1:3" x14ac:dyDescent="0.3">
      <c r="A25" s="4" t="s">
        <v>22</v>
      </c>
      <c r="B25" s="5">
        <v>1380</v>
      </c>
      <c r="C25">
        <f t="shared" si="0"/>
        <v>1.9955654101995624E-2</v>
      </c>
    </row>
    <row r="26" spans="1:3" x14ac:dyDescent="0.3">
      <c r="A26" s="4" t="s">
        <v>23</v>
      </c>
      <c r="B26" s="5">
        <v>1420</v>
      </c>
      <c r="C26">
        <f t="shared" si="0"/>
        <v>2.8985507246376718E-2</v>
      </c>
    </row>
    <row r="27" spans="1:3" x14ac:dyDescent="0.3">
      <c r="A27" s="4" t="s">
        <v>24</v>
      </c>
      <c r="B27" s="5">
        <v>1429</v>
      </c>
      <c r="C27">
        <f t="shared" si="0"/>
        <v>6.3380281690141871E-3</v>
      </c>
    </row>
    <row r="28" spans="1:3" x14ac:dyDescent="0.3">
      <c r="A28" s="4" t="s">
        <v>25</v>
      </c>
      <c r="B28" s="5">
        <v>1540</v>
      </c>
      <c r="C28">
        <f t="shared" si="0"/>
        <v>7.7676696990902627E-2</v>
      </c>
    </row>
    <row r="29" spans="1:3" x14ac:dyDescent="0.3">
      <c r="A29" s="4" t="s">
        <v>26</v>
      </c>
      <c r="B29" s="5">
        <v>1723</v>
      </c>
      <c r="C29">
        <f t="shared" si="0"/>
        <v>0.11883116883116873</v>
      </c>
    </row>
    <row r="30" spans="1:3" x14ac:dyDescent="0.3">
      <c r="A30" s="4" t="s">
        <v>27</v>
      </c>
      <c r="B30" s="5">
        <v>1904</v>
      </c>
      <c r="C30">
        <f t="shared" si="0"/>
        <v>0.10504933255948923</v>
      </c>
    </row>
    <row r="31" spans="1:3" x14ac:dyDescent="0.3">
      <c r="A31" s="4" t="s">
        <v>28</v>
      </c>
      <c r="B31" s="5">
        <v>1889</v>
      </c>
      <c r="C31">
        <f t="shared" si="0"/>
        <v>-7.8781512605041737E-3</v>
      </c>
    </row>
    <row r="32" spans="1:3" x14ac:dyDescent="0.3">
      <c r="A32" s="4" t="s">
        <v>29</v>
      </c>
      <c r="B32" s="5">
        <v>2040</v>
      </c>
      <c r="C32">
        <f t="shared" si="0"/>
        <v>7.9936474325039697E-2</v>
      </c>
    </row>
    <row r="33" spans="1:3" x14ac:dyDescent="0.3">
      <c r="A33" s="4" t="s">
        <v>30</v>
      </c>
      <c r="B33" s="5">
        <v>2232</v>
      </c>
      <c r="C33">
        <f t="shared" si="0"/>
        <v>9.4117647058823639E-2</v>
      </c>
    </row>
    <row r="34" spans="1:3" x14ac:dyDescent="0.3">
      <c r="A34" s="4" t="s">
        <v>31</v>
      </c>
      <c r="B34" s="5">
        <v>2476</v>
      </c>
      <c r="C34">
        <f t="shared" si="0"/>
        <v>0.10931899641577059</v>
      </c>
    </row>
    <row r="35" spans="1:3" x14ac:dyDescent="0.3">
      <c r="A35" s="4" t="s">
        <v>32</v>
      </c>
      <c r="B35" s="5">
        <v>2577</v>
      </c>
      <c r="C35">
        <f t="shared" si="0"/>
        <v>4.0791599353796393E-2</v>
      </c>
    </row>
    <row r="36" spans="1:3" x14ac:dyDescent="0.3">
      <c r="A36" s="4" t="s">
        <v>33</v>
      </c>
      <c r="B36" s="5">
        <v>2191</v>
      </c>
      <c r="C36">
        <f t="shared" si="0"/>
        <v>-0.14978657353511837</v>
      </c>
    </row>
    <row r="37" spans="1:3" x14ac:dyDescent="0.3">
      <c r="A37" s="4" t="s">
        <v>34</v>
      </c>
      <c r="B37" s="5">
        <v>2416</v>
      </c>
      <c r="C37">
        <f t="shared" si="0"/>
        <v>0.10269283432222731</v>
      </c>
    </row>
    <row r="38" spans="1:3" x14ac:dyDescent="0.3">
      <c r="A38" s="4" t="s">
        <v>35</v>
      </c>
      <c r="B38" s="5">
        <v>1826</v>
      </c>
      <c r="C38">
        <f t="shared" si="0"/>
        <v>-0.24420529801324509</v>
      </c>
    </row>
    <row r="39" spans="1:3" x14ac:dyDescent="0.3">
      <c r="A39" s="4" t="s">
        <v>36</v>
      </c>
      <c r="B39" s="5">
        <v>1889</v>
      </c>
      <c r="C39">
        <f t="shared" si="0"/>
        <v>3.4501642935377941E-2</v>
      </c>
    </row>
    <row r="40" spans="1:3" x14ac:dyDescent="0.3">
      <c r="A40" s="4" t="s">
        <v>37</v>
      </c>
      <c r="B40" s="5">
        <v>2049</v>
      </c>
      <c r="C40">
        <f t="shared" si="0"/>
        <v>8.4700899947061981E-2</v>
      </c>
    </row>
    <row r="41" spans="1:3" x14ac:dyDescent="0.3">
      <c r="A41" s="4" t="s">
        <v>38</v>
      </c>
      <c r="B41" s="5">
        <v>1915</v>
      </c>
      <c r="C41">
        <f t="shared" si="0"/>
        <v>-6.5397755002440161E-2</v>
      </c>
    </row>
    <row r="42" spans="1:3" x14ac:dyDescent="0.3">
      <c r="A42" s="4" t="s">
        <v>39</v>
      </c>
      <c r="B42" s="5">
        <v>2063</v>
      </c>
      <c r="C42">
        <f t="shared" si="0"/>
        <v>7.7284595300260994E-2</v>
      </c>
    </row>
    <row r="43" spans="1:3" x14ac:dyDescent="0.3">
      <c r="A43" s="4" t="s">
        <v>40</v>
      </c>
      <c r="B43" s="5">
        <v>2317</v>
      </c>
      <c r="C43">
        <f t="shared" si="0"/>
        <v>0.12312166747455167</v>
      </c>
    </row>
    <row r="44" spans="1:3" x14ac:dyDescent="0.3">
      <c r="A44" s="4" t="s">
        <v>41</v>
      </c>
      <c r="B44" s="5">
        <v>2301</v>
      </c>
      <c r="C44">
        <f t="shared" si="0"/>
        <v>-6.9054812257228759E-3</v>
      </c>
    </row>
    <row r="45" spans="1:3" x14ac:dyDescent="0.3">
      <c r="A45" s="4" t="s">
        <v>42</v>
      </c>
      <c r="B45" s="5">
        <v>1937</v>
      </c>
      <c r="C45">
        <f t="shared" si="0"/>
        <v>-0.15819209039548021</v>
      </c>
    </row>
    <row r="46" spans="1:3" x14ac:dyDescent="0.3">
      <c r="A46" s="4" t="s">
        <v>43</v>
      </c>
      <c r="B46" s="5">
        <v>1849</v>
      </c>
      <c r="C46">
        <f t="shared" si="0"/>
        <v>-4.5431078988125928E-2</v>
      </c>
    </row>
    <row r="47" spans="1:3" x14ac:dyDescent="0.3">
      <c r="A47" s="4" t="s">
        <v>44</v>
      </c>
      <c r="B47" s="5">
        <v>2042</v>
      </c>
      <c r="C47">
        <f t="shared" si="0"/>
        <v>0.104380746349378</v>
      </c>
    </row>
    <row r="48" spans="1:3" x14ac:dyDescent="0.3">
      <c r="A48" s="4" t="s">
        <v>45</v>
      </c>
      <c r="B48" s="5">
        <v>1246</v>
      </c>
      <c r="C48">
        <f t="shared" si="0"/>
        <v>-0.38981390793339865</v>
      </c>
    </row>
    <row r="49" spans="1:3" x14ac:dyDescent="0.3">
      <c r="A49" s="4" t="s">
        <v>46</v>
      </c>
      <c r="B49" s="5">
        <v>1229</v>
      </c>
      <c r="C49">
        <f t="shared" si="0"/>
        <v>-1.3643659711075395E-2</v>
      </c>
    </row>
    <row r="50" spans="1:3" x14ac:dyDescent="0.3">
      <c r="A50" s="4" t="s">
        <v>47</v>
      </c>
      <c r="B50" s="5">
        <v>1298</v>
      </c>
      <c r="C50">
        <f t="shared" si="0"/>
        <v>5.6143205858421474E-2</v>
      </c>
    </row>
    <row r="51" spans="1:3" x14ac:dyDescent="0.3">
      <c r="A51" s="4" t="s">
        <v>48</v>
      </c>
      <c r="B51" s="5">
        <v>1573</v>
      </c>
      <c r="C51">
        <f t="shared" si="0"/>
        <v>0.21186440677966112</v>
      </c>
    </row>
    <row r="52" spans="1:3" x14ac:dyDescent="0.3">
      <c r="A52" s="4" t="s">
        <v>49</v>
      </c>
      <c r="B52" s="5">
        <v>1275</v>
      </c>
      <c r="C52">
        <f t="shared" si="0"/>
        <v>-0.18944691671964398</v>
      </c>
    </row>
    <row r="53" spans="1:3" x14ac:dyDescent="0.3">
      <c r="A53" s="4" t="s">
        <v>50</v>
      </c>
      <c r="B53" s="5">
        <v>1492</v>
      </c>
      <c r="C53">
        <f t="shared" si="0"/>
        <v>0.17019607843137252</v>
      </c>
    </row>
    <row r="54" spans="1:3" x14ac:dyDescent="0.3">
      <c r="A54" s="4" t="s">
        <v>51</v>
      </c>
      <c r="B54" s="5">
        <v>1617</v>
      </c>
      <c r="C54">
        <f t="shared" si="0"/>
        <v>8.3780160857908736E-2</v>
      </c>
    </row>
    <row r="55" spans="1:3" x14ac:dyDescent="0.3">
      <c r="A55" s="4" t="s">
        <v>52</v>
      </c>
      <c r="B55" s="5">
        <v>1918</v>
      </c>
      <c r="C55">
        <f t="shared" si="0"/>
        <v>0.18614718614718617</v>
      </c>
    </row>
    <row r="56" spans="1:3" x14ac:dyDescent="0.3">
      <c r="A56" s="4" t="s">
        <v>53</v>
      </c>
      <c r="B56" s="5">
        <v>2065</v>
      </c>
      <c r="C56">
        <f t="shared" si="0"/>
        <v>7.6642335766423431E-2</v>
      </c>
    </row>
    <row r="57" spans="1:3" x14ac:dyDescent="0.3">
      <c r="A57" s="4" t="s">
        <v>54</v>
      </c>
      <c r="B57" s="5">
        <v>2056</v>
      </c>
      <c r="C57">
        <f t="shared" si="0"/>
        <v>-4.3583535108958626E-3</v>
      </c>
    </row>
    <row r="58" spans="1:3" x14ac:dyDescent="0.3">
      <c r="A58" s="4" t="s">
        <v>55</v>
      </c>
      <c r="B58" s="5">
        <v>2151</v>
      </c>
      <c r="C58">
        <f t="shared" si="0"/>
        <v>4.620622568093391E-2</v>
      </c>
    </row>
    <row r="59" spans="1:3" x14ac:dyDescent="0.3">
      <c r="A59" s="4" t="s">
        <v>56</v>
      </c>
      <c r="B59" s="5">
        <v>1990</v>
      </c>
      <c r="C59">
        <f t="shared" si="0"/>
        <v>-7.4848907484890703E-2</v>
      </c>
    </row>
    <row r="60" spans="1:3" x14ac:dyDescent="0.3">
      <c r="A60" s="4" t="s">
        <v>57</v>
      </c>
      <c r="B60" s="5">
        <v>2018</v>
      </c>
      <c r="C60">
        <f t="shared" si="0"/>
        <v>1.4070351758793898E-2</v>
      </c>
    </row>
    <row r="61" spans="1:3" x14ac:dyDescent="0.3">
      <c r="A61" s="4" t="s">
        <v>58</v>
      </c>
      <c r="B61" s="5">
        <v>2148</v>
      </c>
      <c r="C61">
        <f t="shared" si="0"/>
        <v>6.4420218037660959E-2</v>
      </c>
    </row>
    <row r="62" spans="1:3" x14ac:dyDescent="0.3">
      <c r="A62" s="4" t="s">
        <v>59</v>
      </c>
      <c r="B62" s="5">
        <v>2273</v>
      </c>
      <c r="C62">
        <f t="shared" si="0"/>
        <v>5.8193668528863984E-2</v>
      </c>
    </row>
    <row r="63" spans="1:3" x14ac:dyDescent="0.3">
      <c r="A63" s="4" t="s">
        <v>60</v>
      </c>
      <c r="B63" s="5">
        <v>2639</v>
      </c>
      <c r="C63">
        <f t="shared" si="0"/>
        <v>0.16102067751869775</v>
      </c>
    </row>
    <row r="64" spans="1:3" x14ac:dyDescent="0.3">
      <c r="A64" s="4" t="s">
        <v>61</v>
      </c>
      <c r="B64" s="5">
        <v>3238</v>
      </c>
      <c r="C64">
        <f t="shared" si="0"/>
        <v>0.22697991663508899</v>
      </c>
    </row>
    <row r="65" spans="1:3" x14ac:dyDescent="0.3">
      <c r="A65" s="4" t="s">
        <v>62</v>
      </c>
      <c r="B65" s="5">
        <v>3117</v>
      </c>
      <c r="C65">
        <f t="shared" si="0"/>
        <v>-3.736874613959229E-2</v>
      </c>
    </row>
    <row r="66" spans="1:3" x14ac:dyDescent="0.3">
      <c r="A66" s="4" t="s">
        <v>63</v>
      </c>
      <c r="B66" s="5">
        <v>3280</v>
      </c>
      <c r="C66">
        <f t="shared" si="0"/>
        <v>5.2293872313121659E-2</v>
      </c>
    </row>
    <row r="67" spans="1:3" x14ac:dyDescent="0.3">
      <c r="A67" s="4" t="s">
        <v>64</v>
      </c>
      <c r="B67" s="5">
        <v>3349</v>
      </c>
      <c r="C67">
        <f t="shared" si="0"/>
        <v>2.1036585365853622E-2</v>
      </c>
    </row>
    <row r="68" spans="1:3" x14ac:dyDescent="0.3">
      <c r="A68" s="4" t="s">
        <v>65</v>
      </c>
      <c r="B68" s="5">
        <v>2959</v>
      </c>
      <c r="C68">
        <f t="shared" si="0"/>
        <v>-0.11645267243953417</v>
      </c>
    </row>
    <row r="69" spans="1:3" x14ac:dyDescent="0.3">
      <c r="A69" s="4" t="s">
        <v>66</v>
      </c>
      <c r="B69" s="5">
        <v>2894</v>
      </c>
      <c r="C69">
        <f t="shared" si="0"/>
        <v>-2.1966880702940172E-2</v>
      </c>
    </row>
    <row r="70" spans="1:3" x14ac:dyDescent="0.3">
      <c r="A70" s="4" t="s">
        <v>67</v>
      </c>
      <c r="B70" s="5">
        <v>3282</v>
      </c>
      <c r="C70">
        <f t="shared" si="0"/>
        <v>0.13407049067035248</v>
      </c>
    </row>
    <row r="71" spans="1:3" x14ac:dyDescent="0.3">
      <c r="A71" s="4" t="s">
        <v>68</v>
      </c>
      <c r="B71" s="5">
        <v>3226</v>
      </c>
      <c r="C71">
        <f t="shared" si="0"/>
        <v>-1.7062766605728252E-2</v>
      </c>
    </row>
    <row r="72" spans="1:3" x14ac:dyDescent="0.3">
      <c r="A72" s="4" t="s">
        <v>69</v>
      </c>
      <c r="B72" s="5">
        <v>3442</v>
      </c>
      <c r="C72">
        <f t="shared" si="0"/>
        <v>6.6955982641041523E-2</v>
      </c>
    </row>
    <row r="73" spans="1:3" x14ac:dyDescent="0.3">
      <c r="A73" s="4" t="s">
        <v>70</v>
      </c>
      <c r="B73" s="5">
        <v>3249</v>
      </c>
      <c r="C73">
        <f t="shared" si="0"/>
        <v>-5.6072051133062129E-2</v>
      </c>
    </row>
    <row r="74" spans="1:3" x14ac:dyDescent="0.3">
      <c r="A74" s="4" t="s">
        <v>71</v>
      </c>
      <c r="B74" s="5">
        <v>3080</v>
      </c>
      <c r="C74">
        <f t="shared" si="0"/>
        <v>-5.201600492459213E-2</v>
      </c>
    </row>
    <row r="75" spans="1:3" x14ac:dyDescent="0.3">
      <c r="A75" s="4" t="s">
        <v>72</v>
      </c>
      <c r="B75" s="5">
        <v>2828</v>
      </c>
      <c r="C75">
        <f t="shared" si="0"/>
        <v>-8.181818181818179E-2</v>
      </c>
    </row>
    <row r="76" spans="1:3" x14ac:dyDescent="0.3">
      <c r="A76" s="4" t="s">
        <v>73</v>
      </c>
      <c r="B76" s="5">
        <v>3211</v>
      </c>
      <c r="C76">
        <f t="shared" si="0"/>
        <v>0.13543140028288536</v>
      </c>
    </row>
    <row r="77" spans="1:3" x14ac:dyDescent="0.3">
      <c r="A77" s="4" t="s">
        <v>74</v>
      </c>
      <c r="B77" s="5">
        <v>3683</v>
      </c>
      <c r="C77">
        <f t="shared" si="0"/>
        <v>0.14699470569915918</v>
      </c>
    </row>
    <row r="78" spans="1:3" x14ac:dyDescent="0.3">
      <c r="A78" s="4" t="s">
        <v>75</v>
      </c>
      <c r="B78" s="5">
        <v>3410</v>
      </c>
      <c r="C78">
        <f t="shared" si="0"/>
        <v>-7.4124355145262055E-2</v>
      </c>
    </row>
    <row r="79" spans="1:3" x14ac:dyDescent="0.3">
      <c r="A79" s="4" t="s">
        <v>76</v>
      </c>
      <c r="B79" s="5">
        <v>3197</v>
      </c>
      <c r="C79">
        <f t="shared" si="0"/>
        <v>-6.2463343108504432E-2</v>
      </c>
    </row>
    <row r="80" spans="1:3" x14ac:dyDescent="0.3">
      <c r="A80" s="4" t="s">
        <v>77</v>
      </c>
      <c r="B80" s="5">
        <v>3358</v>
      </c>
      <c r="C80">
        <f t="shared" si="0"/>
        <v>5.0359712230215736E-2</v>
      </c>
    </row>
    <row r="81" spans="1:3" x14ac:dyDescent="0.3">
      <c r="A81" s="4" t="s">
        <v>78</v>
      </c>
      <c r="B81" s="5">
        <v>3418</v>
      </c>
      <c r="C81">
        <f t="shared" si="0"/>
        <v>1.7867778439547344E-2</v>
      </c>
    </row>
    <row r="82" spans="1:3" x14ac:dyDescent="0.3">
      <c r="A82" s="4" t="s">
        <v>79</v>
      </c>
      <c r="B82" s="5">
        <v>3368</v>
      </c>
      <c r="C82">
        <f t="shared" si="0"/>
        <v>-1.4628437682855489E-2</v>
      </c>
    </row>
    <row r="83" spans="1:3" x14ac:dyDescent="0.3">
      <c r="A83" s="4" t="s">
        <v>80</v>
      </c>
      <c r="B83" s="5">
        <v>3260</v>
      </c>
      <c r="C83">
        <f t="shared" si="0"/>
        <v>-3.2066508313539188E-2</v>
      </c>
    </row>
    <row r="84" spans="1:3" x14ac:dyDescent="0.3">
      <c r="A84" s="4" t="s">
        <v>81</v>
      </c>
      <c r="B84" s="5">
        <v>3113</v>
      </c>
      <c r="C84">
        <f t="shared" si="0"/>
        <v>-4.5092024539877262E-2</v>
      </c>
    </row>
    <row r="85" spans="1:3" x14ac:dyDescent="0.3">
      <c r="A85" s="4" t="s">
        <v>82</v>
      </c>
      <c r="B85" s="5">
        <v>2665</v>
      </c>
      <c r="C85">
        <f t="shared" ref="C85:C148" si="1">(B85/B84)-1</f>
        <v>-0.14391262447799547</v>
      </c>
    </row>
    <row r="86" spans="1:3" x14ac:dyDescent="0.3">
      <c r="A86" s="4" t="s">
        <v>83</v>
      </c>
      <c r="B86" s="5">
        <v>2830</v>
      </c>
      <c r="C86">
        <f t="shared" si="1"/>
        <v>6.1913696060037493E-2</v>
      </c>
    </row>
    <row r="87" spans="1:3" x14ac:dyDescent="0.3">
      <c r="A87" s="4" t="s">
        <v>84</v>
      </c>
      <c r="B87" s="5">
        <v>3030</v>
      </c>
      <c r="C87">
        <f t="shared" si="1"/>
        <v>7.067137809187285E-2</v>
      </c>
    </row>
    <row r="88" spans="1:3" x14ac:dyDescent="0.3">
      <c r="A88" s="4" t="s">
        <v>85</v>
      </c>
      <c r="B88" s="5">
        <v>3182</v>
      </c>
      <c r="C88">
        <f t="shared" si="1"/>
        <v>5.0165016501650062E-2</v>
      </c>
    </row>
    <row r="89" spans="1:3" x14ac:dyDescent="0.3">
      <c r="A89" s="4" t="s">
        <v>86</v>
      </c>
      <c r="B89" s="5">
        <v>3089</v>
      </c>
      <c r="C89">
        <f t="shared" si="1"/>
        <v>-2.9226901319924559E-2</v>
      </c>
    </row>
    <row r="90" spans="1:3" x14ac:dyDescent="0.3">
      <c r="A90" s="4" t="s">
        <v>87</v>
      </c>
      <c r="B90" s="5">
        <v>3440</v>
      </c>
      <c r="C90">
        <f t="shared" si="1"/>
        <v>0.1136290061508578</v>
      </c>
    </row>
    <row r="91" spans="1:3" x14ac:dyDescent="0.3">
      <c r="A91" s="4" t="s">
        <v>88</v>
      </c>
      <c r="B91" s="5">
        <v>3404</v>
      </c>
      <c r="C91">
        <f t="shared" si="1"/>
        <v>-1.0465116279069764E-2</v>
      </c>
    </row>
    <row r="92" spans="1:3" x14ac:dyDescent="0.3">
      <c r="A92" s="4" t="s">
        <v>89</v>
      </c>
      <c r="B92" s="5">
        <v>3430</v>
      </c>
      <c r="C92">
        <f t="shared" si="1"/>
        <v>7.6380728554641397E-3</v>
      </c>
    </row>
    <row r="93" spans="1:3" x14ac:dyDescent="0.3">
      <c r="A93" s="4" t="s">
        <v>90</v>
      </c>
      <c r="B93" s="5">
        <v>3404</v>
      </c>
      <c r="C93">
        <f t="shared" si="1"/>
        <v>-7.5801749271137142E-3</v>
      </c>
    </row>
    <row r="94" spans="1:3" x14ac:dyDescent="0.3">
      <c r="A94" s="4" t="s">
        <v>91</v>
      </c>
      <c r="B94" s="5">
        <v>3134</v>
      </c>
      <c r="C94">
        <f t="shared" si="1"/>
        <v>-7.9318448883666237E-2</v>
      </c>
    </row>
    <row r="95" spans="1:3" x14ac:dyDescent="0.3">
      <c r="A95" s="4" t="s">
        <v>92</v>
      </c>
      <c r="B95" s="5">
        <v>2819</v>
      </c>
      <c r="C95">
        <f t="shared" si="1"/>
        <v>-0.10051052967453733</v>
      </c>
    </row>
    <row r="96" spans="1:3" x14ac:dyDescent="0.3">
      <c r="A96" s="4" t="s">
        <v>93</v>
      </c>
      <c r="B96" s="5">
        <v>2935</v>
      </c>
      <c r="C96">
        <f t="shared" si="1"/>
        <v>4.1149343738914546E-2</v>
      </c>
    </row>
    <row r="97" spans="1:3" x14ac:dyDescent="0.3">
      <c r="A97" s="4" t="s">
        <v>94</v>
      </c>
      <c r="B97" s="5">
        <v>2640</v>
      </c>
      <c r="C97">
        <f t="shared" si="1"/>
        <v>-0.10051107325383302</v>
      </c>
    </row>
    <row r="98" spans="1:3" x14ac:dyDescent="0.3">
      <c r="A98" s="4" t="s">
        <v>95</v>
      </c>
      <c r="B98" s="5">
        <v>3124</v>
      </c>
      <c r="C98">
        <f t="shared" si="1"/>
        <v>0.18333333333333335</v>
      </c>
    </row>
    <row r="99" spans="1:3" x14ac:dyDescent="0.3">
      <c r="A99" s="4" t="s">
        <v>96</v>
      </c>
      <c r="B99" s="5">
        <v>3167</v>
      </c>
      <c r="C99">
        <f t="shared" si="1"/>
        <v>1.3764404609474923E-2</v>
      </c>
    </row>
    <row r="100" spans="1:3" x14ac:dyDescent="0.3">
      <c r="A100" s="4" t="s">
        <v>97</v>
      </c>
      <c r="B100" s="5">
        <v>3364</v>
      </c>
      <c r="C100">
        <f t="shared" si="1"/>
        <v>6.2203978528575954E-2</v>
      </c>
    </row>
    <row r="101" spans="1:3" x14ac:dyDescent="0.3">
      <c r="A101" s="4" t="s">
        <v>98</v>
      </c>
      <c r="B101" s="5">
        <v>3250</v>
      </c>
      <c r="C101">
        <f t="shared" si="1"/>
        <v>-3.388822829964333E-2</v>
      </c>
    </row>
    <row r="102" spans="1:3" x14ac:dyDescent="0.3">
      <c r="A102" s="4" t="s">
        <v>99</v>
      </c>
      <c r="B102" s="5">
        <v>3152</v>
      </c>
      <c r="C102">
        <f t="shared" si="1"/>
        <v>-3.0153846153846198E-2</v>
      </c>
    </row>
    <row r="103" spans="1:3" x14ac:dyDescent="0.3">
      <c r="A103" s="4" t="s">
        <v>100</v>
      </c>
      <c r="B103" s="5">
        <v>3368</v>
      </c>
      <c r="C103">
        <f t="shared" si="1"/>
        <v>6.8527918781725816E-2</v>
      </c>
    </row>
    <row r="104" spans="1:3" x14ac:dyDescent="0.3">
      <c r="A104" s="4" t="s">
        <v>101</v>
      </c>
      <c r="B104" s="5">
        <v>3554</v>
      </c>
      <c r="C104">
        <f t="shared" si="1"/>
        <v>5.5225653206650849E-2</v>
      </c>
    </row>
    <row r="105" spans="1:3" x14ac:dyDescent="0.3">
      <c r="A105" s="4" t="s">
        <v>102</v>
      </c>
      <c r="B105" s="5">
        <v>3745</v>
      </c>
      <c r="C105">
        <f t="shared" si="1"/>
        <v>5.3742262239729888E-2</v>
      </c>
    </row>
    <row r="106" spans="1:3" x14ac:dyDescent="0.3">
      <c r="A106" s="4" t="s">
        <v>103</v>
      </c>
      <c r="B106" s="5">
        <v>3648</v>
      </c>
      <c r="C106">
        <f t="shared" si="1"/>
        <v>-2.5901201602136159E-2</v>
      </c>
    </row>
    <row r="107" spans="1:3" x14ac:dyDescent="0.3">
      <c r="A107" s="4" t="s">
        <v>104</v>
      </c>
      <c r="B107" s="5">
        <v>3938</v>
      </c>
      <c r="C107">
        <f t="shared" si="1"/>
        <v>7.9495614035087758E-2</v>
      </c>
    </row>
    <row r="108" spans="1:3" x14ac:dyDescent="0.3">
      <c r="A108" s="4" t="s">
        <v>105</v>
      </c>
      <c r="B108" s="5">
        <v>4361</v>
      </c>
      <c r="C108">
        <f t="shared" si="1"/>
        <v>0.10741493143727787</v>
      </c>
    </row>
    <row r="109" spans="1:3" x14ac:dyDescent="0.3">
      <c r="A109" s="4" t="s">
        <v>106</v>
      </c>
      <c r="B109" s="5">
        <v>4409</v>
      </c>
      <c r="C109">
        <f t="shared" si="1"/>
        <v>1.1006649850951566E-2</v>
      </c>
    </row>
    <row r="110" spans="1:3" x14ac:dyDescent="0.3">
      <c r="A110" s="4" t="s">
        <v>107</v>
      </c>
      <c r="B110" s="5">
        <v>4774</v>
      </c>
      <c r="C110">
        <f t="shared" si="1"/>
        <v>8.2785212066228242E-2</v>
      </c>
    </row>
    <row r="111" spans="1:3" x14ac:dyDescent="0.3">
      <c r="A111" s="4" t="s">
        <v>108</v>
      </c>
      <c r="B111" s="5">
        <v>5218</v>
      </c>
      <c r="C111">
        <f t="shared" si="1"/>
        <v>9.3003770423125243E-2</v>
      </c>
    </row>
    <row r="112" spans="1:3" x14ac:dyDescent="0.3">
      <c r="A112" s="4" t="s">
        <v>109</v>
      </c>
      <c r="B112" s="5">
        <v>6004</v>
      </c>
      <c r="C112">
        <f t="shared" si="1"/>
        <v>0.1506324262169414</v>
      </c>
    </row>
    <row r="113" spans="1:3" x14ac:dyDescent="0.3">
      <c r="A113" s="4" t="s">
        <v>110</v>
      </c>
      <c r="B113" s="5">
        <v>5875</v>
      </c>
      <c r="C113">
        <f t="shared" si="1"/>
        <v>-2.1485676215856064E-2</v>
      </c>
    </row>
    <row r="114" spans="1:3" x14ac:dyDescent="0.3">
      <c r="A114" s="4" t="s">
        <v>111</v>
      </c>
      <c r="B114" s="5">
        <v>6041</v>
      </c>
      <c r="C114">
        <f t="shared" si="1"/>
        <v>2.8255319148936087E-2</v>
      </c>
    </row>
    <row r="115" spans="1:3" x14ac:dyDescent="0.3">
      <c r="A115" s="4" t="s">
        <v>112</v>
      </c>
      <c r="B115" s="5">
        <v>6077</v>
      </c>
      <c r="C115">
        <f t="shared" si="1"/>
        <v>5.9592782651878284E-3</v>
      </c>
    </row>
    <row r="116" spans="1:3" x14ac:dyDescent="0.3">
      <c r="A116" s="4" t="s">
        <v>113</v>
      </c>
      <c r="B116" s="5">
        <v>5283</v>
      </c>
      <c r="C116">
        <f t="shared" si="1"/>
        <v>-0.13065657396741814</v>
      </c>
    </row>
    <row r="117" spans="1:3" x14ac:dyDescent="0.3">
      <c r="A117" s="4" t="s">
        <v>114</v>
      </c>
      <c r="B117" s="5">
        <v>5480</v>
      </c>
      <c r="C117">
        <f t="shared" si="1"/>
        <v>3.7289418890781745E-2</v>
      </c>
    </row>
    <row r="118" spans="1:3" x14ac:dyDescent="0.3">
      <c r="A118" s="4" t="s">
        <v>115</v>
      </c>
      <c r="B118" s="5">
        <v>5791</v>
      </c>
      <c r="C118">
        <f t="shared" si="1"/>
        <v>5.6751824817518282E-2</v>
      </c>
    </row>
    <row r="119" spans="1:3" x14ac:dyDescent="0.3">
      <c r="A119" s="4" t="s">
        <v>116</v>
      </c>
      <c r="B119" s="5">
        <v>6104</v>
      </c>
      <c r="C119">
        <f t="shared" si="1"/>
        <v>5.4049386979796221E-2</v>
      </c>
    </row>
    <row r="120" spans="1:3" x14ac:dyDescent="0.3">
      <c r="A120" s="4" t="s">
        <v>117</v>
      </c>
      <c r="B120" s="5">
        <v>6347</v>
      </c>
      <c r="C120">
        <f t="shared" si="1"/>
        <v>3.9809960681520318E-2</v>
      </c>
    </row>
    <row r="121" spans="1:3" x14ac:dyDescent="0.3">
      <c r="A121" s="4" t="s">
        <v>118</v>
      </c>
      <c r="B121" s="5">
        <v>6719</v>
      </c>
      <c r="C121">
        <f t="shared" si="1"/>
        <v>5.8610367102568173E-2</v>
      </c>
    </row>
    <row r="122" spans="1:3" x14ac:dyDescent="0.3">
      <c r="A122" s="4" t="s">
        <v>119</v>
      </c>
      <c r="B122" s="5">
        <v>6861</v>
      </c>
      <c r="C122">
        <f t="shared" si="1"/>
        <v>2.1134097335913093E-2</v>
      </c>
    </row>
    <row r="123" spans="1:3" x14ac:dyDescent="0.3">
      <c r="A123" s="4" t="s">
        <v>120</v>
      </c>
      <c r="B123" s="5">
        <v>7240</v>
      </c>
      <c r="C123">
        <f t="shared" si="1"/>
        <v>5.5239760967789042E-2</v>
      </c>
    </row>
    <row r="124" spans="1:3" x14ac:dyDescent="0.3">
      <c r="A124" s="4" t="s">
        <v>121</v>
      </c>
      <c r="B124" s="5">
        <v>7796</v>
      </c>
      <c r="C124">
        <f t="shared" si="1"/>
        <v>7.6795580110497141E-2</v>
      </c>
    </row>
    <row r="125" spans="1:3" x14ac:dyDescent="0.3">
      <c r="A125" s="4" t="s">
        <v>122</v>
      </c>
      <c r="B125" s="5">
        <v>7488</v>
      </c>
      <c r="C125">
        <f t="shared" si="1"/>
        <v>-3.950743971267312E-2</v>
      </c>
    </row>
    <row r="126" spans="1:3" x14ac:dyDescent="0.3">
      <c r="A126" s="4" t="s">
        <v>123</v>
      </c>
      <c r="B126" s="5">
        <v>8606</v>
      </c>
      <c r="C126">
        <f t="shared" si="1"/>
        <v>0.14930555555555558</v>
      </c>
    </row>
    <row r="127" spans="1:3" x14ac:dyDescent="0.3">
      <c r="A127" s="4" t="s">
        <v>124</v>
      </c>
      <c r="B127" s="5">
        <v>8117</v>
      </c>
      <c r="C127">
        <f t="shared" si="1"/>
        <v>-5.6820822681849847E-2</v>
      </c>
    </row>
    <row r="128" spans="1:3" x14ac:dyDescent="0.3">
      <c r="A128" s="4" t="s">
        <v>125</v>
      </c>
      <c r="B128" s="5">
        <v>7493</v>
      </c>
      <c r="C128">
        <f t="shared" si="1"/>
        <v>-7.687569299002095E-2</v>
      </c>
    </row>
    <row r="129" spans="1:3" x14ac:dyDescent="0.3">
      <c r="A129" s="4" t="s">
        <v>126</v>
      </c>
      <c r="B129" s="5">
        <v>7612</v>
      </c>
      <c r="C129">
        <f t="shared" si="1"/>
        <v>1.588148939009737E-2</v>
      </c>
    </row>
    <row r="130" spans="1:3" x14ac:dyDescent="0.3">
      <c r="A130" s="4" t="s">
        <v>127</v>
      </c>
      <c r="B130" s="5">
        <v>7765</v>
      </c>
      <c r="C130">
        <f t="shared" si="1"/>
        <v>2.0099842354177611E-2</v>
      </c>
    </row>
    <row r="131" spans="1:3" x14ac:dyDescent="0.3">
      <c r="A131" s="4" t="s">
        <v>128</v>
      </c>
      <c r="B131" s="5">
        <v>8114</v>
      </c>
      <c r="C131">
        <f t="shared" si="1"/>
        <v>4.494526722472636E-2</v>
      </c>
    </row>
    <row r="132" spans="1:3" x14ac:dyDescent="0.3">
      <c r="A132" s="4" t="s">
        <v>129</v>
      </c>
      <c r="B132" s="5">
        <v>8915</v>
      </c>
      <c r="C132">
        <f t="shared" si="1"/>
        <v>9.8718264727631233E-2</v>
      </c>
    </row>
    <row r="133" spans="1:3" x14ac:dyDescent="0.3">
      <c r="A133" s="4" t="s">
        <v>130</v>
      </c>
      <c r="B133" s="5">
        <v>9981</v>
      </c>
      <c r="C133">
        <f t="shared" si="1"/>
        <v>0.11957375210319676</v>
      </c>
    </row>
    <row r="134" spans="1:3" x14ac:dyDescent="0.3">
      <c r="A134" s="4" t="s">
        <v>131</v>
      </c>
      <c r="B134" s="5">
        <v>9566</v>
      </c>
      <c r="C134">
        <f t="shared" si="1"/>
        <v>-4.1579000100190333E-2</v>
      </c>
    </row>
    <row r="135" spans="1:3" x14ac:dyDescent="0.3">
      <c r="A135" s="4" t="s">
        <v>132</v>
      </c>
      <c r="B135" s="5">
        <v>10195</v>
      </c>
      <c r="C135">
        <f t="shared" si="1"/>
        <v>6.5753711060004161E-2</v>
      </c>
    </row>
    <row r="136" spans="1:3" x14ac:dyDescent="0.3">
      <c r="A136" s="4" t="s">
        <v>133</v>
      </c>
      <c r="B136" s="5">
        <v>10706</v>
      </c>
      <c r="C136">
        <f t="shared" si="1"/>
        <v>5.0122609122118744E-2</v>
      </c>
    </row>
    <row r="137" spans="1:3" x14ac:dyDescent="0.3">
      <c r="A137" s="4" t="s">
        <v>134</v>
      </c>
      <c r="B137" s="5">
        <v>12669</v>
      </c>
      <c r="C137">
        <f t="shared" si="1"/>
        <v>0.1833551279656267</v>
      </c>
    </row>
    <row r="138" spans="1:3" x14ac:dyDescent="0.3">
      <c r="A138" s="4" t="s">
        <v>135</v>
      </c>
      <c r="B138" s="5">
        <v>12525</v>
      </c>
      <c r="C138">
        <f t="shared" si="1"/>
        <v>-1.1366327255505571E-2</v>
      </c>
    </row>
    <row r="139" spans="1:3" x14ac:dyDescent="0.3">
      <c r="A139" s="4" t="s">
        <v>136</v>
      </c>
      <c r="B139" s="5">
        <v>12171</v>
      </c>
      <c r="C139">
        <f t="shared" si="1"/>
        <v>-2.8263473053892207E-2</v>
      </c>
    </row>
    <row r="140" spans="1:3" x14ac:dyDescent="0.3">
      <c r="A140" s="4" t="s">
        <v>137</v>
      </c>
      <c r="B140" s="5">
        <v>12836</v>
      </c>
      <c r="C140">
        <f t="shared" si="1"/>
        <v>5.463807411059074E-2</v>
      </c>
    </row>
    <row r="141" spans="1:3" x14ac:dyDescent="0.3">
      <c r="A141" s="4" t="s">
        <v>138</v>
      </c>
      <c r="B141" s="5">
        <v>11878</v>
      </c>
      <c r="C141">
        <f t="shared" si="1"/>
        <v>-7.4633842318479249E-2</v>
      </c>
    </row>
    <row r="142" spans="1:3" x14ac:dyDescent="0.3">
      <c r="A142" s="4" t="s">
        <v>139</v>
      </c>
      <c r="B142" s="5">
        <v>11830</v>
      </c>
      <c r="C142">
        <f t="shared" si="1"/>
        <v>-4.041084357635949E-3</v>
      </c>
    </row>
    <row r="143" spans="1:3" x14ac:dyDescent="0.3">
      <c r="A143" s="4" t="s">
        <v>140</v>
      </c>
      <c r="B143" s="5">
        <v>12028</v>
      </c>
      <c r="C143">
        <f t="shared" si="1"/>
        <v>1.6737109044801413E-2</v>
      </c>
    </row>
    <row r="144" spans="1:3" x14ac:dyDescent="0.3">
      <c r="A144" s="4" t="s">
        <v>141</v>
      </c>
      <c r="B144" s="5">
        <v>11846</v>
      </c>
      <c r="C144">
        <f t="shared" si="1"/>
        <v>-1.5131360159627572E-2</v>
      </c>
    </row>
    <row r="145" spans="1:3" x14ac:dyDescent="0.3">
      <c r="A145" s="4" t="s">
        <v>142</v>
      </c>
      <c r="B145" s="5">
        <v>11845</v>
      </c>
      <c r="C145">
        <f t="shared" si="1"/>
        <v>-8.4416680736110195E-5</v>
      </c>
    </row>
    <row r="146" spans="1:3" x14ac:dyDescent="0.3">
      <c r="A146" s="4" t="s">
        <v>143</v>
      </c>
      <c r="B146" s="5">
        <v>12688</v>
      </c>
      <c r="C146">
        <f t="shared" si="1"/>
        <v>7.1169269734064899E-2</v>
      </c>
    </row>
    <row r="147" spans="1:3" x14ac:dyDescent="0.3">
      <c r="A147" s="4" t="s">
        <v>144</v>
      </c>
      <c r="B147" s="5">
        <v>13624</v>
      </c>
      <c r="C147">
        <f t="shared" si="1"/>
        <v>7.3770491803278659E-2</v>
      </c>
    </row>
    <row r="148" spans="1:3" x14ac:dyDescent="0.3">
      <c r="A148" s="4" t="s">
        <v>145</v>
      </c>
      <c r="B148" s="5">
        <v>14567</v>
      </c>
      <c r="C148">
        <f t="shared" si="1"/>
        <v>6.9216089254257263E-2</v>
      </c>
    </row>
    <row r="149" spans="1:3" x14ac:dyDescent="0.3">
      <c r="A149" s="4" t="s">
        <v>146</v>
      </c>
      <c r="B149" s="5">
        <v>14703</v>
      </c>
      <c r="C149">
        <f t="shared" ref="C149:C212" si="2">(B149/B148)-1</f>
        <v>9.3361707970069929E-3</v>
      </c>
    </row>
    <row r="150" spans="1:3" x14ac:dyDescent="0.3">
      <c r="A150" s="4" t="s">
        <v>147</v>
      </c>
      <c r="B150" s="5">
        <v>14313</v>
      </c>
      <c r="C150">
        <f t="shared" si="2"/>
        <v>-2.6525198938992078E-2</v>
      </c>
    </row>
    <row r="151" spans="1:3" x14ac:dyDescent="0.3">
      <c r="A151" s="4" t="s">
        <v>148</v>
      </c>
      <c r="B151" s="5">
        <v>14922</v>
      </c>
      <c r="C151">
        <f t="shared" si="2"/>
        <v>4.2548731922029015E-2</v>
      </c>
    </row>
    <row r="152" spans="1:3" x14ac:dyDescent="0.3">
      <c r="A152" s="4" t="s">
        <v>149</v>
      </c>
      <c r="B152" s="5">
        <v>15788</v>
      </c>
      <c r="C152">
        <f t="shared" si="2"/>
        <v>5.8035115936201587E-2</v>
      </c>
    </row>
    <row r="153" spans="1:3" x14ac:dyDescent="0.3">
      <c r="A153" s="4" t="s">
        <v>150</v>
      </c>
      <c r="B153" s="5">
        <v>16809</v>
      </c>
      <c r="C153">
        <f t="shared" si="2"/>
        <v>6.4669369141119759E-2</v>
      </c>
    </row>
    <row r="154" spans="1:3" x14ac:dyDescent="0.3">
      <c r="A154" s="4" t="s">
        <v>151</v>
      </c>
      <c r="B154" s="5">
        <v>17492</v>
      </c>
      <c r="C154">
        <f t="shared" si="2"/>
        <v>4.0632994229282016E-2</v>
      </c>
    </row>
    <row r="155" spans="1:3" x14ac:dyDescent="0.3">
      <c r="A155" s="4" t="s">
        <v>152</v>
      </c>
      <c r="B155" s="5">
        <v>17697</v>
      </c>
      <c r="C155">
        <f t="shared" si="2"/>
        <v>1.1719643265492907E-2</v>
      </c>
    </row>
    <row r="156" spans="1:3" x14ac:dyDescent="0.3">
      <c r="A156" s="4" t="s">
        <v>153</v>
      </c>
      <c r="B156" s="5">
        <v>17866</v>
      </c>
      <c r="C156">
        <f t="shared" si="2"/>
        <v>9.5496411821212046E-3</v>
      </c>
    </row>
    <row r="157" spans="1:3" x14ac:dyDescent="0.3">
      <c r="A157" s="4" t="s">
        <v>154</v>
      </c>
      <c r="B157" s="5">
        <v>19879</v>
      </c>
      <c r="C157">
        <f t="shared" si="2"/>
        <v>0.11267211463114291</v>
      </c>
    </row>
    <row r="158" spans="1:3" x14ac:dyDescent="0.3">
      <c r="A158" s="4" t="s">
        <v>155</v>
      </c>
      <c r="B158" s="5">
        <v>21614</v>
      </c>
      <c r="C158">
        <f t="shared" si="2"/>
        <v>8.7278032094169733E-2</v>
      </c>
    </row>
    <row r="159" spans="1:3" x14ac:dyDescent="0.3">
      <c r="A159" s="4" t="s">
        <v>156</v>
      </c>
      <c r="B159" s="5">
        <v>21016</v>
      </c>
      <c r="C159">
        <f t="shared" si="2"/>
        <v>-2.7667252706579104E-2</v>
      </c>
    </row>
    <row r="160" spans="1:3" x14ac:dyDescent="0.3">
      <c r="A160" s="4" t="s">
        <v>157</v>
      </c>
      <c r="B160" s="5">
        <v>21534</v>
      </c>
      <c r="C160">
        <f t="shared" si="2"/>
        <v>2.464788732394374E-2</v>
      </c>
    </row>
    <row r="161" spans="1:3" x14ac:dyDescent="0.3">
      <c r="A161" s="4" t="s">
        <v>158</v>
      </c>
      <c r="B161" s="5">
        <v>19670</v>
      </c>
      <c r="C161">
        <f t="shared" si="2"/>
        <v>-8.6560787591715371E-2</v>
      </c>
    </row>
    <row r="162" spans="1:3" x14ac:dyDescent="0.3">
      <c r="A162" s="4" t="s">
        <v>159</v>
      </c>
      <c r="B162" s="5">
        <v>21034</v>
      </c>
      <c r="C162">
        <f t="shared" si="2"/>
        <v>6.9344178952719826E-2</v>
      </c>
    </row>
    <row r="163" spans="1:3" x14ac:dyDescent="0.3">
      <c r="A163" s="4" t="s">
        <v>160</v>
      </c>
      <c r="B163" s="5">
        <v>20077</v>
      </c>
      <c r="C163">
        <f t="shared" si="2"/>
        <v>-4.549776552248741E-2</v>
      </c>
    </row>
    <row r="164" spans="1:3" x14ac:dyDescent="0.3">
      <c r="A164" s="4" t="s">
        <v>161</v>
      </c>
      <c r="B164" s="5">
        <v>22451</v>
      </c>
      <c r="C164">
        <f t="shared" si="2"/>
        <v>0.11824475768292086</v>
      </c>
    </row>
    <row r="165" spans="1:3" x14ac:dyDescent="0.3">
      <c r="A165" s="4" t="s">
        <v>162</v>
      </c>
      <c r="B165" s="5">
        <v>24080</v>
      </c>
      <c r="C165">
        <f t="shared" si="2"/>
        <v>7.25580152331744E-2</v>
      </c>
    </row>
    <row r="166" spans="1:3" x14ac:dyDescent="0.3">
      <c r="A166" s="4" t="s">
        <v>163</v>
      </c>
      <c r="B166" s="5">
        <v>21694</v>
      </c>
      <c r="C166">
        <f t="shared" si="2"/>
        <v>-9.9086378737541558E-2</v>
      </c>
    </row>
    <row r="167" spans="1:3" x14ac:dyDescent="0.3">
      <c r="A167" s="4" t="s">
        <v>164</v>
      </c>
      <c r="B167" s="5">
        <v>19366</v>
      </c>
      <c r="C167">
        <f t="shared" si="2"/>
        <v>-0.10731077717341198</v>
      </c>
    </row>
    <row r="168" spans="1:3" x14ac:dyDescent="0.3">
      <c r="A168" s="4" t="s">
        <v>165</v>
      </c>
      <c r="B168" s="5">
        <v>18231</v>
      </c>
      <c r="C168">
        <f t="shared" si="2"/>
        <v>-5.8607869461943629E-2</v>
      </c>
    </row>
    <row r="169" spans="1:3" x14ac:dyDescent="0.3">
      <c r="A169" s="4" t="s">
        <v>166</v>
      </c>
      <c r="B169" s="5">
        <v>16532</v>
      </c>
      <c r="C169">
        <f t="shared" si="2"/>
        <v>-9.3192913169875435E-2</v>
      </c>
    </row>
    <row r="170" spans="1:3" x14ac:dyDescent="0.3">
      <c r="A170" s="4" t="s">
        <v>167</v>
      </c>
      <c r="B170" s="5">
        <v>12381</v>
      </c>
      <c r="C170">
        <f t="shared" si="2"/>
        <v>-0.25108879748366808</v>
      </c>
    </row>
    <row r="171" spans="1:3" x14ac:dyDescent="0.3">
      <c r="A171" s="4" t="s">
        <v>168</v>
      </c>
      <c r="B171" s="5">
        <v>12102</v>
      </c>
      <c r="C171">
        <f t="shared" si="2"/>
        <v>-2.2534528713351154E-2</v>
      </c>
    </row>
    <row r="172" spans="1:3" x14ac:dyDescent="0.3">
      <c r="A172" s="4" t="s">
        <v>169</v>
      </c>
      <c r="B172" s="5">
        <v>12539</v>
      </c>
      <c r="C172">
        <f t="shared" si="2"/>
        <v>3.6109733928276322E-2</v>
      </c>
    </row>
    <row r="173" spans="1:3" x14ac:dyDescent="0.3">
      <c r="A173" s="4" t="s">
        <v>170</v>
      </c>
      <c r="B173" s="5">
        <v>12979</v>
      </c>
      <c r="C173">
        <f t="shared" si="2"/>
        <v>3.5090517585134373E-2</v>
      </c>
    </row>
    <row r="174" spans="1:3" x14ac:dyDescent="0.3">
      <c r="A174" s="4" t="s">
        <v>171</v>
      </c>
      <c r="B174" s="5">
        <v>12856</v>
      </c>
      <c r="C174">
        <f t="shared" si="2"/>
        <v>-9.4768472147315208E-3</v>
      </c>
    </row>
    <row r="175" spans="1:3" x14ac:dyDescent="0.3">
      <c r="A175" s="4" t="s">
        <v>172</v>
      </c>
      <c r="B175" s="5">
        <v>13807</v>
      </c>
      <c r="C175">
        <f t="shared" si="2"/>
        <v>7.3973242065961342E-2</v>
      </c>
    </row>
    <row r="176" spans="1:3" x14ac:dyDescent="0.3">
      <c r="A176" s="4" t="s">
        <v>173</v>
      </c>
      <c r="B176" s="5">
        <v>15626</v>
      </c>
      <c r="C176">
        <f t="shared" si="2"/>
        <v>0.13174476714709926</v>
      </c>
    </row>
    <row r="177" spans="1:3" x14ac:dyDescent="0.3">
      <c r="A177" s="4" t="s">
        <v>174</v>
      </c>
      <c r="B177" s="5">
        <v>17349</v>
      </c>
      <c r="C177">
        <f t="shared" si="2"/>
        <v>0.11026494304364531</v>
      </c>
    </row>
    <row r="178" spans="1:3" x14ac:dyDescent="0.3">
      <c r="A178" s="4" t="s">
        <v>175</v>
      </c>
      <c r="B178" s="5">
        <v>16660</v>
      </c>
      <c r="C178">
        <f t="shared" si="2"/>
        <v>-3.9714104559340546E-2</v>
      </c>
    </row>
    <row r="179" spans="1:3" x14ac:dyDescent="0.3">
      <c r="A179" s="4" t="s">
        <v>176</v>
      </c>
      <c r="B179" s="5">
        <v>17489</v>
      </c>
      <c r="C179">
        <f t="shared" si="2"/>
        <v>4.9759903961584584E-2</v>
      </c>
    </row>
    <row r="180" spans="1:3" x14ac:dyDescent="0.3">
      <c r="A180" s="4" t="s">
        <v>177</v>
      </c>
      <c r="B180" s="5">
        <v>17823</v>
      </c>
      <c r="C180">
        <f t="shared" si="2"/>
        <v>1.9097718565955768E-2</v>
      </c>
    </row>
    <row r="181" spans="1:3" x14ac:dyDescent="0.3">
      <c r="A181" s="4" t="s">
        <v>178</v>
      </c>
      <c r="B181" s="5">
        <v>19573</v>
      </c>
      <c r="C181">
        <f t="shared" si="2"/>
        <v>9.8187734949222838E-2</v>
      </c>
    </row>
    <row r="182" spans="1:3" x14ac:dyDescent="0.3">
      <c r="A182" s="4" t="s">
        <v>179</v>
      </c>
      <c r="B182" s="5">
        <v>19642</v>
      </c>
      <c r="C182">
        <f t="shared" si="2"/>
        <v>3.5252643948295859E-3</v>
      </c>
    </row>
    <row r="183" spans="1:3" x14ac:dyDescent="0.3">
      <c r="A183" s="4" t="s">
        <v>180</v>
      </c>
      <c r="B183" s="5">
        <v>21304</v>
      </c>
      <c r="C183">
        <f t="shared" si="2"/>
        <v>8.4614601364423114E-2</v>
      </c>
    </row>
    <row r="184" spans="1:3" x14ac:dyDescent="0.3">
      <c r="A184" s="4" t="s">
        <v>181</v>
      </c>
      <c r="B184" s="5">
        <v>21672</v>
      </c>
      <c r="C184">
        <f t="shared" si="2"/>
        <v>1.7273751408186211E-2</v>
      </c>
    </row>
    <row r="185" spans="1:3" x14ac:dyDescent="0.3">
      <c r="A185" s="4" t="s">
        <v>182</v>
      </c>
      <c r="B185" s="5">
        <v>20758</v>
      </c>
      <c r="C185">
        <f t="shared" si="2"/>
        <v>-4.217423403469911E-2</v>
      </c>
    </row>
    <row r="186" spans="1:3" x14ac:dyDescent="0.3">
      <c r="A186" s="4" t="s">
        <v>183</v>
      </c>
      <c r="B186" s="5">
        <v>20994</v>
      </c>
      <c r="C186">
        <f t="shared" si="2"/>
        <v>1.1369110704306795E-2</v>
      </c>
    </row>
    <row r="187" spans="1:3" x14ac:dyDescent="0.3">
      <c r="A187" s="4" t="s">
        <v>184</v>
      </c>
      <c r="B187" s="5">
        <v>22088</v>
      </c>
      <c r="C187">
        <f t="shared" si="2"/>
        <v>5.211012670286741E-2</v>
      </c>
    </row>
    <row r="188" spans="1:3" x14ac:dyDescent="0.3">
      <c r="A188" s="4" t="s">
        <v>185</v>
      </c>
      <c r="B188" s="5">
        <v>21270</v>
      </c>
      <c r="C188">
        <f t="shared" si="2"/>
        <v>-3.7033683448026045E-2</v>
      </c>
    </row>
    <row r="189" spans="1:3" x14ac:dyDescent="0.3">
      <c r="A189" s="4" t="s">
        <v>186</v>
      </c>
      <c r="B189" s="5">
        <v>19997</v>
      </c>
      <c r="C189">
        <f t="shared" si="2"/>
        <v>-5.9849553361542074E-2</v>
      </c>
    </row>
    <row r="190" spans="1:3" x14ac:dyDescent="0.3">
      <c r="A190" s="4" t="s">
        <v>187</v>
      </c>
      <c r="B190" s="5">
        <v>19055</v>
      </c>
      <c r="C190">
        <f t="shared" si="2"/>
        <v>-4.7107066059908997E-2</v>
      </c>
    </row>
    <row r="191" spans="1:3" x14ac:dyDescent="0.3">
      <c r="A191" s="4" t="s">
        <v>188</v>
      </c>
      <c r="B191" s="5">
        <v>21151</v>
      </c>
      <c r="C191">
        <f t="shared" si="2"/>
        <v>0.1099973760167936</v>
      </c>
    </row>
    <row r="192" spans="1:3" x14ac:dyDescent="0.3">
      <c r="A192" s="4" t="s">
        <v>189</v>
      </c>
      <c r="B192" s="5">
        <v>20435</v>
      </c>
      <c r="C192">
        <f t="shared" si="2"/>
        <v>-3.3851827336768947E-2</v>
      </c>
    </row>
    <row r="193" spans="1:3" x14ac:dyDescent="0.3">
      <c r="A193" s="4" t="s">
        <v>190</v>
      </c>
      <c r="B193" s="5">
        <v>21852</v>
      </c>
      <c r="C193">
        <f t="shared" si="2"/>
        <v>6.934181551260088E-2</v>
      </c>
    </row>
    <row r="194" spans="1:3" x14ac:dyDescent="0.3">
      <c r="A194" s="4" t="s">
        <v>191</v>
      </c>
      <c r="B194" s="5">
        <v>22218</v>
      </c>
      <c r="C194">
        <f t="shared" si="2"/>
        <v>1.6749038989566145E-2</v>
      </c>
    </row>
    <row r="195" spans="1:3" x14ac:dyDescent="0.3">
      <c r="A195" s="4" t="s">
        <v>192</v>
      </c>
      <c r="B195" s="5">
        <v>21494</v>
      </c>
      <c r="C195">
        <f t="shared" si="2"/>
        <v>-3.258619137636154E-2</v>
      </c>
    </row>
    <row r="196" spans="1:3" x14ac:dyDescent="0.3">
      <c r="A196" s="4" t="s">
        <v>193</v>
      </c>
      <c r="B196" s="5">
        <v>22239</v>
      </c>
      <c r="C196">
        <f t="shared" si="2"/>
        <v>3.466083558202282E-2</v>
      </c>
    </row>
    <row r="197" spans="1:3" x14ac:dyDescent="0.3">
      <c r="A197" s="4" t="s">
        <v>194</v>
      </c>
      <c r="B197" s="5">
        <v>21462</v>
      </c>
      <c r="C197">
        <f t="shared" si="2"/>
        <v>-3.4938621340887654E-2</v>
      </c>
    </row>
    <row r="198" spans="1:3" x14ac:dyDescent="0.3">
      <c r="A198" s="4" t="s">
        <v>195</v>
      </c>
      <c r="B198" s="5">
        <v>21891</v>
      </c>
      <c r="C198">
        <f t="shared" si="2"/>
        <v>1.99888174447862E-2</v>
      </c>
    </row>
    <row r="199" spans="1:3" x14ac:dyDescent="0.3">
      <c r="A199" s="4" t="s">
        <v>196</v>
      </c>
      <c r="B199" s="5">
        <v>22385</v>
      </c>
      <c r="C199">
        <f t="shared" si="2"/>
        <v>2.2566351468640056E-2</v>
      </c>
    </row>
    <row r="200" spans="1:3" x14ac:dyDescent="0.3">
      <c r="A200" s="4" t="s">
        <v>197</v>
      </c>
      <c r="B200" s="5">
        <v>21561</v>
      </c>
      <c r="C200">
        <f t="shared" si="2"/>
        <v>-3.6810364083091351E-2</v>
      </c>
    </row>
    <row r="201" spans="1:3" x14ac:dyDescent="0.3">
      <c r="A201" s="4" t="s">
        <v>198</v>
      </c>
      <c r="B201" s="5">
        <v>21071</v>
      </c>
      <c r="C201">
        <f t="shared" si="2"/>
        <v>-2.2726218635499285E-2</v>
      </c>
    </row>
    <row r="202" spans="1:3" x14ac:dyDescent="0.3">
      <c r="A202" s="4" t="s">
        <v>199</v>
      </c>
      <c r="B202" s="5">
        <v>20745</v>
      </c>
      <c r="C202">
        <f t="shared" si="2"/>
        <v>-1.5471501115276953E-2</v>
      </c>
    </row>
    <row r="203" spans="1:3" x14ac:dyDescent="0.3">
      <c r="A203" s="4" t="s">
        <v>200</v>
      </c>
      <c r="B203" s="5">
        <v>19705</v>
      </c>
      <c r="C203">
        <f t="shared" si="2"/>
        <v>-5.0132562063147756E-2</v>
      </c>
    </row>
    <row r="204" spans="1:3" x14ac:dyDescent="0.3">
      <c r="A204" s="4" t="s">
        <v>201</v>
      </c>
      <c r="B204" s="5">
        <v>18884</v>
      </c>
      <c r="C204">
        <f t="shared" si="2"/>
        <v>-4.1664552144125899E-2</v>
      </c>
    </row>
    <row r="205" spans="1:3" x14ac:dyDescent="0.3">
      <c r="A205" s="4" t="s">
        <v>202</v>
      </c>
      <c r="B205" s="5">
        <v>18025</v>
      </c>
      <c r="C205">
        <f t="shared" si="2"/>
        <v>-4.54882440160983E-2</v>
      </c>
    </row>
    <row r="206" spans="1:3" x14ac:dyDescent="0.3">
      <c r="A206" s="4" t="s">
        <v>203</v>
      </c>
      <c r="B206" s="5">
        <v>19618</v>
      </c>
      <c r="C206">
        <f t="shared" si="2"/>
        <v>8.8377253814146961E-2</v>
      </c>
    </row>
    <row r="207" spans="1:3" x14ac:dyDescent="0.3">
      <c r="A207" s="4" t="s">
        <v>204</v>
      </c>
      <c r="B207" s="5">
        <v>19410</v>
      </c>
      <c r="C207">
        <f t="shared" si="2"/>
        <v>-1.0602507900907332E-2</v>
      </c>
    </row>
    <row r="208" spans="1:3" x14ac:dyDescent="0.3">
      <c r="A208" s="4" t="s">
        <v>205</v>
      </c>
      <c r="B208" s="5">
        <v>19706</v>
      </c>
      <c r="C208">
        <f t="shared" si="2"/>
        <v>1.5249871200412102E-2</v>
      </c>
    </row>
    <row r="209" spans="1:3" x14ac:dyDescent="0.3">
      <c r="A209" s="4" t="s">
        <v>206</v>
      </c>
      <c r="B209" s="5">
        <v>21267</v>
      </c>
      <c r="C209">
        <f t="shared" si="2"/>
        <v>7.9214452451030093E-2</v>
      </c>
    </row>
    <row r="210" spans="1:3" x14ac:dyDescent="0.3">
      <c r="A210" s="4" t="s">
        <v>207</v>
      </c>
      <c r="B210" s="5">
        <v>22086</v>
      </c>
      <c r="C210">
        <f t="shared" si="2"/>
        <v>3.8510368176047471E-2</v>
      </c>
    </row>
    <row r="211" spans="1:3" x14ac:dyDescent="0.3">
      <c r="A211" s="4" t="s">
        <v>208</v>
      </c>
      <c r="B211" s="5">
        <v>22035</v>
      </c>
      <c r="C211">
        <f t="shared" si="2"/>
        <v>-2.3091551208910266E-3</v>
      </c>
    </row>
    <row r="212" spans="1:3" x14ac:dyDescent="0.3">
      <c r="A212" s="4" t="s">
        <v>209</v>
      </c>
      <c r="B212" s="5">
        <v>21489</v>
      </c>
      <c r="C212">
        <f t="shared" si="2"/>
        <v>-2.4778761061946875E-2</v>
      </c>
    </row>
    <row r="213" spans="1:3" x14ac:dyDescent="0.3">
      <c r="A213" s="4" t="s">
        <v>210</v>
      </c>
      <c r="B213" s="5">
        <v>19640</v>
      </c>
      <c r="C213">
        <f t="shared" ref="C213:C276" si="3">(B213/B212)-1</f>
        <v>-8.6044022523151353E-2</v>
      </c>
    </row>
    <row r="214" spans="1:3" x14ac:dyDescent="0.3">
      <c r="A214" s="4" t="s">
        <v>211</v>
      </c>
      <c r="B214" s="5">
        <v>19813</v>
      </c>
      <c r="C214">
        <f t="shared" si="3"/>
        <v>8.8085539714868322E-3</v>
      </c>
    </row>
    <row r="215" spans="1:3" x14ac:dyDescent="0.3">
      <c r="A215" s="4" t="s">
        <v>212</v>
      </c>
      <c r="B215" s="5">
        <v>20428</v>
      </c>
      <c r="C215">
        <f t="shared" si="3"/>
        <v>3.1040226114167568E-2</v>
      </c>
    </row>
    <row r="216" spans="1:3" x14ac:dyDescent="0.3">
      <c r="A216" s="4" t="s">
        <v>213</v>
      </c>
      <c r="B216" s="5">
        <v>20397</v>
      </c>
      <c r="C216">
        <f t="shared" si="3"/>
        <v>-1.517524965733319E-3</v>
      </c>
    </row>
    <row r="217" spans="1:3" x14ac:dyDescent="0.3">
      <c r="A217" s="4" t="s">
        <v>214</v>
      </c>
      <c r="B217" s="5">
        <v>20965</v>
      </c>
      <c r="C217">
        <f t="shared" si="3"/>
        <v>2.7847232436142511E-2</v>
      </c>
    </row>
    <row r="218" spans="1:3" x14ac:dyDescent="0.3">
      <c r="A218" s="4" t="s">
        <v>215</v>
      </c>
      <c r="B218" s="5">
        <v>20741</v>
      </c>
      <c r="C218">
        <f t="shared" si="3"/>
        <v>-1.0684474123539234E-2</v>
      </c>
    </row>
    <row r="219" spans="1:3" x14ac:dyDescent="0.3">
      <c r="A219" s="4" t="s">
        <v>216</v>
      </c>
      <c r="B219" s="5">
        <v>20980</v>
      </c>
      <c r="C219">
        <f t="shared" si="3"/>
        <v>1.152307024733612E-2</v>
      </c>
    </row>
    <row r="220" spans="1:3" x14ac:dyDescent="0.3">
      <c r="A220" s="4" t="s">
        <v>217</v>
      </c>
      <c r="B220" s="5">
        <v>21982</v>
      </c>
      <c r="C220">
        <f t="shared" si="3"/>
        <v>4.775977121067676E-2</v>
      </c>
    </row>
    <row r="221" spans="1:3" x14ac:dyDescent="0.3">
      <c r="A221" s="4" t="s">
        <v>218</v>
      </c>
      <c r="B221" s="5">
        <v>22032</v>
      </c>
      <c r="C221">
        <f t="shared" si="3"/>
        <v>2.2745882995178768E-3</v>
      </c>
    </row>
    <row r="222" spans="1:3" x14ac:dyDescent="0.3">
      <c r="A222" s="4" t="s">
        <v>219</v>
      </c>
      <c r="B222" s="5">
        <v>21395</v>
      </c>
      <c r="C222">
        <f t="shared" si="3"/>
        <v>-2.8912490922294865E-2</v>
      </c>
    </row>
    <row r="223" spans="1:3" x14ac:dyDescent="0.3">
      <c r="A223" s="4" t="s">
        <v>220</v>
      </c>
      <c r="B223" s="5">
        <v>21531</v>
      </c>
      <c r="C223">
        <f t="shared" si="3"/>
        <v>6.3566253797615602E-3</v>
      </c>
    </row>
    <row r="224" spans="1:3" x14ac:dyDescent="0.3">
      <c r="A224" s="4" t="s">
        <v>221</v>
      </c>
      <c r="B224" s="5">
        <v>21700</v>
      </c>
      <c r="C224">
        <f t="shared" si="3"/>
        <v>7.8491477404671883E-3</v>
      </c>
    </row>
    <row r="225" spans="1:3" x14ac:dyDescent="0.3">
      <c r="A225" s="4" t="s">
        <v>222</v>
      </c>
      <c r="B225" s="5">
        <v>21510</v>
      </c>
      <c r="C225">
        <f t="shared" si="3"/>
        <v>-8.7557603686635455E-3</v>
      </c>
    </row>
    <row r="226" spans="1:3" x14ac:dyDescent="0.3">
      <c r="A226" s="4" t="s">
        <v>223</v>
      </c>
      <c r="B226" s="5">
        <v>19560</v>
      </c>
      <c r="C226">
        <f t="shared" si="3"/>
        <v>-9.0655509065550866E-2</v>
      </c>
    </row>
    <row r="227" spans="1:3" x14ac:dyDescent="0.3">
      <c r="A227" s="4" t="s">
        <v>224</v>
      </c>
      <c r="B227" s="5">
        <v>19900</v>
      </c>
      <c r="C227">
        <f t="shared" si="3"/>
        <v>1.7382413087934534E-2</v>
      </c>
    </row>
    <row r="228" spans="1:3" x14ac:dyDescent="0.3">
      <c r="A228" s="4" t="s">
        <v>225</v>
      </c>
      <c r="B228" s="5">
        <v>20272</v>
      </c>
      <c r="C228">
        <f t="shared" si="3"/>
        <v>1.8693467336683423E-2</v>
      </c>
    </row>
    <row r="229" spans="1:3" x14ac:dyDescent="0.3">
      <c r="A229" s="4" t="s">
        <v>226</v>
      </c>
      <c r="B229" s="5">
        <v>21281</v>
      </c>
      <c r="C229">
        <f t="shared" si="3"/>
        <v>4.9773086029992086E-2</v>
      </c>
    </row>
    <row r="230" spans="1:3" x14ac:dyDescent="0.3">
      <c r="A230" s="4" t="s">
        <v>227</v>
      </c>
      <c r="B230" s="5">
        <v>22422</v>
      </c>
      <c r="C230">
        <f t="shared" si="3"/>
        <v>5.3615901508387687E-2</v>
      </c>
    </row>
    <row r="231" spans="1:3" x14ac:dyDescent="0.3">
      <c r="A231" s="4" t="s">
        <v>228</v>
      </c>
      <c r="B231" s="5">
        <v>21970</v>
      </c>
      <c r="C231">
        <f t="shared" si="3"/>
        <v>-2.0158772634020106E-2</v>
      </c>
    </row>
    <row r="232" spans="1:3" x14ac:dyDescent="0.3">
      <c r="A232" s="4" t="s">
        <v>229</v>
      </c>
      <c r="B232" s="5">
        <v>21294</v>
      </c>
      <c r="C232">
        <f t="shared" si="3"/>
        <v>-3.0769230769230771E-2</v>
      </c>
    </row>
    <row r="233" spans="1:3" x14ac:dyDescent="0.3">
      <c r="A233" s="4" t="s">
        <v>230</v>
      </c>
      <c r="B233" s="5">
        <v>19559</v>
      </c>
      <c r="C233">
        <f t="shared" si="3"/>
        <v>-8.1478350709119907E-2</v>
      </c>
    </row>
    <row r="234" spans="1:3" x14ac:dyDescent="0.3">
      <c r="A234" s="4" t="s">
        <v>231</v>
      </c>
      <c r="B234" s="5">
        <v>19497</v>
      </c>
      <c r="C234">
        <f t="shared" si="3"/>
        <v>-3.1698962114627971E-3</v>
      </c>
    </row>
    <row r="235" spans="1:3" x14ac:dyDescent="0.3">
      <c r="A235" s="4" t="s">
        <v>232</v>
      </c>
      <c r="B235" s="5">
        <v>20841</v>
      </c>
      <c r="C235">
        <f t="shared" si="3"/>
        <v>6.8933682104939331E-2</v>
      </c>
    </row>
    <row r="236" spans="1:3" x14ac:dyDescent="0.3">
      <c r="A236" s="4" t="s">
        <v>233</v>
      </c>
      <c r="B236" s="5">
        <v>21406</v>
      </c>
      <c r="C236">
        <f t="shared" si="3"/>
        <v>2.7110023511347725E-2</v>
      </c>
    </row>
    <row r="237" spans="1:3" x14ac:dyDescent="0.3">
      <c r="A237" s="4" t="s">
        <v>234</v>
      </c>
      <c r="B237" s="5">
        <v>21167</v>
      </c>
      <c r="C237">
        <f t="shared" si="3"/>
        <v>-1.1165093898906853E-2</v>
      </c>
    </row>
    <row r="238" spans="1:3" x14ac:dyDescent="0.3">
      <c r="A238" s="4" t="s">
        <v>235</v>
      </c>
      <c r="B238" s="5">
        <v>21934</v>
      </c>
      <c r="C238">
        <f t="shared" si="3"/>
        <v>3.6235649832285999E-2</v>
      </c>
    </row>
    <row r="239" spans="1:3" x14ac:dyDescent="0.3">
      <c r="A239" s="4" t="s">
        <v>236</v>
      </c>
      <c r="B239" s="5">
        <v>22913</v>
      </c>
      <c r="C239">
        <f t="shared" si="3"/>
        <v>4.4633901705115386E-2</v>
      </c>
    </row>
    <row r="240" spans="1:3" x14ac:dyDescent="0.3">
      <c r="A240" s="4" t="s">
        <v>237</v>
      </c>
      <c r="B240" s="5">
        <v>25110</v>
      </c>
      <c r="C240">
        <f t="shared" si="3"/>
        <v>9.5884432418277932E-2</v>
      </c>
    </row>
    <row r="241" spans="1:3" x14ac:dyDescent="0.3">
      <c r="A241" s="4" t="s">
        <v>238</v>
      </c>
      <c r="B241" s="5">
        <v>22286</v>
      </c>
      <c r="C241">
        <f t="shared" si="3"/>
        <v>-0.11246515332536833</v>
      </c>
    </row>
    <row r="242" spans="1:3" x14ac:dyDescent="0.3">
      <c r="A242" s="4" t="s">
        <v>239</v>
      </c>
      <c r="B242" s="5">
        <v>22497</v>
      </c>
      <c r="C242">
        <f t="shared" si="3"/>
        <v>9.4678273355470743E-3</v>
      </c>
    </row>
    <row r="243" spans="1:3" x14ac:dyDescent="0.3">
      <c r="A243" s="4" t="s">
        <v>240</v>
      </c>
      <c r="B243" s="5">
        <v>22567</v>
      </c>
      <c r="C243">
        <f t="shared" si="3"/>
        <v>3.1115259812419804E-3</v>
      </c>
    </row>
    <row r="244" spans="1:3" x14ac:dyDescent="0.3">
      <c r="A244" s="4" t="s">
        <v>241</v>
      </c>
      <c r="B244" s="5">
        <v>20702</v>
      </c>
      <c r="C244">
        <f t="shared" si="3"/>
        <v>-8.2642797004475521E-2</v>
      </c>
    </row>
    <row r="245" spans="1:3" x14ac:dyDescent="0.3">
      <c r="A245" s="4" t="s">
        <v>242</v>
      </c>
      <c r="B245" s="5">
        <v>19485</v>
      </c>
      <c r="C245">
        <f t="shared" si="3"/>
        <v>-5.8786590667568306E-2</v>
      </c>
    </row>
    <row r="246" spans="1:3" x14ac:dyDescent="0.3">
      <c r="A246" s="4" t="s">
        <v>243</v>
      </c>
      <c r="B246" s="5">
        <v>21302</v>
      </c>
      <c r="C246">
        <f t="shared" si="3"/>
        <v>9.3251218886322818E-2</v>
      </c>
    </row>
    <row r="247" spans="1:3" x14ac:dyDescent="0.3">
      <c r="A247" s="4" t="s">
        <v>244</v>
      </c>
      <c r="B247" s="5">
        <v>21194</v>
      </c>
      <c r="C247">
        <f t="shared" si="3"/>
        <v>-5.0699464838982466E-3</v>
      </c>
    </row>
    <row r="248" spans="1:3" x14ac:dyDescent="0.3">
      <c r="A248" s="4" t="s">
        <v>245</v>
      </c>
      <c r="B248" s="5">
        <v>23126</v>
      </c>
      <c r="C248">
        <f t="shared" si="3"/>
        <v>9.1157874870246403E-2</v>
      </c>
    </row>
    <row r="249" spans="1:3" x14ac:dyDescent="0.3">
      <c r="A249" s="4" t="s">
        <v>246</v>
      </c>
      <c r="B249" s="5">
        <v>21861</v>
      </c>
      <c r="C249">
        <f t="shared" si="3"/>
        <v>-5.4700337282712064E-2</v>
      </c>
    </row>
    <row r="250" spans="1:3" x14ac:dyDescent="0.3">
      <c r="A250" s="4" t="s">
        <v>247</v>
      </c>
      <c r="B250" s="5">
        <v>22028</v>
      </c>
      <c r="C250">
        <f t="shared" si="3"/>
        <v>7.639174786148839E-3</v>
      </c>
    </row>
    <row r="251" spans="1:3" x14ac:dyDescent="0.3">
      <c r="A251" s="4" t="s">
        <v>248</v>
      </c>
      <c r="B251" s="5">
        <v>21270</v>
      </c>
      <c r="C251">
        <f t="shared" si="3"/>
        <v>-3.4410749954603248E-2</v>
      </c>
    </row>
    <row r="252" spans="1:3" x14ac:dyDescent="0.3">
      <c r="A252" s="4" t="s">
        <v>249</v>
      </c>
      <c r="B252" s="5">
        <v>19515</v>
      </c>
      <c r="C252">
        <f t="shared" si="3"/>
        <v>-8.2510578279266555E-2</v>
      </c>
    </row>
    <row r="253" spans="1:3" x14ac:dyDescent="0.3">
      <c r="A253" s="4" t="s">
        <v>250</v>
      </c>
      <c r="B253" s="5">
        <v>18909</v>
      </c>
      <c r="C253">
        <f t="shared" si="3"/>
        <v>-3.1053036126056921E-2</v>
      </c>
    </row>
    <row r="254" spans="1:3" x14ac:dyDescent="0.3">
      <c r="A254" s="4" t="s">
        <v>251</v>
      </c>
      <c r="B254" s="5">
        <v>19166</v>
      </c>
      <c r="C254">
        <f t="shared" si="3"/>
        <v>1.3591411497170691E-2</v>
      </c>
    </row>
    <row r="255" spans="1:3" x14ac:dyDescent="0.3">
      <c r="A255" s="4" t="s">
        <v>252</v>
      </c>
      <c r="B255" s="5">
        <v>18848</v>
      </c>
      <c r="C255">
        <f t="shared" si="3"/>
        <v>-1.6591881456746282E-2</v>
      </c>
    </row>
    <row r="256" spans="1:3" x14ac:dyDescent="0.3">
      <c r="A256" s="4" t="s">
        <v>253</v>
      </c>
      <c r="B256" s="5">
        <v>18133</v>
      </c>
      <c r="C256">
        <f t="shared" si="3"/>
        <v>-3.7935059422750439E-2</v>
      </c>
    </row>
    <row r="257" spans="1:3" x14ac:dyDescent="0.3">
      <c r="A257" s="4" t="s">
        <v>254</v>
      </c>
      <c r="B257" s="5">
        <v>16999</v>
      </c>
      <c r="C257">
        <f t="shared" si="3"/>
        <v>-6.2537914299895192E-2</v>
      </c>
    </row>
    <row r="258" spans="1:3" x14ac:dyDescent="0.3">
      <c r="A258" s="4" t="s">
        <v>255</v>
      </c>
      <c r="B258" s="5">
        <v>17899</v>
      </c>
      <c r="C258">
        <f t="shared" si="3"/>
        <v>5.2944290840637676E-2</v>
      </c>
    </row>
    <row r="259" spans="1:3" x14ac:dyDescent="0.3">
      <c r="A259" s="4" t="s">
        <v>256</v>
      </c>
      <c r="B259" s="5">
        <v>20658</v>
      </c>
      <c r="C259">
        <f t="shared" si="3"/>
        <v>0.15414268953572829</v>
      </c>
    </row>
    <row r="260" spans="1:3" x14ac:dyDescent="0.3">
      <c r="A260" s="4" t="s">
        <v>257</v>
      </c>
      <c r="B260" s="5">
        <v>22133</v>
      </c>
      <c r="C260">
        <f t="shared" si="3"/>
        <v>7.1400910059057132E-2</v>
      </c>
    </row>
    <row r="261" spans="1:3" x14ac:dyDescent="0.3">
      <c r="A261" s="4" t="s">
        <v>258</v>
      </c>
      <c r="B261" s="5">
        <v>20051</v>
      </c>
      <c r="C261">
        <f t="shared" si="3"/>
        <v>-9.4067681742194931E-2</v>
      </c>
    </row>
    <row r="262" spans="1:3" x14ac:dyDescent="0.3">
      <c r="A262" s="4" t="s">
        <v>259</v>
      </c>
      <c r="B262" s="5">
        <v>21350</v>
      </c>
      <c r="C262">
        <f t="shared" si="3"/>
        <v>6.4784798763154017E-2</v>
      </c>
    </row>
    <row r="263" spans="1:3" x14ac:dyDescent="0.3">
      <c r="A263" s="4" t="s">
        <v>260</v>
      </c>
      <c r="B263" s="5">
        <v>23765</v>
      </c>
      <c r="C263">
        <f t="shared" si="3"/>
        <v>0.11311475409836058</v>
      </c>
    </row>
    <row r="264" spans="1:3" x14ac:dyDescent="0.3">
      <c r="A264" s="4" t="s">
        <v>261</v>
      </c>
      <c r="B264" s="5">
        <v>24031</v>
      </c>
      <c r="C264">
        <f t="shared" si="3"/>
        <v>1.1192930780559607E-2</v>
      </c>
    </row>
    <row r="265" spans="1:3" x14ac:dyDescent="0.3">
      <c r="A265" s="4" t="s">
        <v>262</v>
      </c>
      <c r="B265" s="5">
        <v>24176</v>
      </c>
      <c r="C265">
        <f t="shared" si="3"/>
        <v>6.0338729141524716E-3</v>
      </c>
    </row>
    <row r="266" spans="1:3" x14ac:dyDescent="0.3">
      <c r="A266" s="4" t="s">
        <v>263</v>
      </c>
      <c r="B266" s="5">
        <v>26776</v>
      </c>
      <c r="C266">
        <f t="shared" si="3"/>
        <v>0.10754467240238252</v>
      </c>
    </row>
    <row r="267" spans="1:3" x14ac:dyDescent="0.3">
      <c r="A267" s="4" t="s">
        <v>264</v>
      </c>
      <c r="B267" s="5">
        <v>25437</v>
      </c>
      <c r="C267">
        <f t="shared" si="3"/>
        <v>-5.0007469375560221E-2</v>
      </c>
    </row>
    <row r="268" spans="1:3" x14ac:dyDescent="0.3">
      <c r="A268" s="4" t="s">
        <v>265</v>
      </c>
      <c r="B268" s="5">
        <v>24788</v>
      </c>
      <c r="C268">
        <f t="shared" si="3"/>
        <v>-2.5514015017494174E-2</v>
      </c>
    </row>
    <row r="269" spans="1:3" x14ac:dyDescent="0.3">
      <c r="A269" s="4" t="s">
        <v>266</v>
      </c>
      <c r="B269" s="5">
        <v>26574</v>
      </c>
      <c r="C269">
        <f t="shared" si="3"/>
        <v>7.2050992415684911E-2</v>
      </c>
    </row>
    <row r="270" spans="1:3" x14ac:dyDescent="0.3">
      <c r="A270" s="4" t="s">
        <v>267</v>
      </c>
      <c r="B270" s="5">
        <v>27452</v>
      </c>
      <c r="C270">
        <f t="shared" si="3"/>
        <v>3.3039813351396052E-2</v>
      </c>
    </row>
    <row r="271" spans="1:3" x14ac:dyDescent="0.3">
      <c r="A271" s="4" t="s">
        <v>268</v>
      </c>
      <c r="B271" s="5">
        <v>26806</v>
      </c>
      <c r="C271">
        <f t="shared" si="3"/>
        <v>-2.3531983097770603E-2</v>
      </c>
    </row>
    <row r="272" spans="1:3" x14ac:dyDescent="0.3">
      <c r="A272" s="4" t="s">
        <v>269</v>
      </c>
      <c r="B272" s="5">
        <v>27041</v>
      </c>
      <c r="C272">
        <f t="shared" si="3"/>
        <v>8.766694023726096E-3</v>
      </c>
    </row>
    <row r="273" spans="1:3" x14ac:dyDescent="0.3">
      <c r="A273" s="4" t="s">
        <v>270</v>
      </c>
      <c r="B273" s="5">
        <v>26052</v>
      </c>
      <c r="C273">
        <f t="shared" si="3"/>
        <v>-3.6574091194852221E-2</v>
      </c>
    </row>
    <row r="274" spans="1:3" x14ac:dyDescent="0.3">
      <c r="A274" s="4" t="s">
        <v>271</v>
      </c>
      <c r="B274" s="5">
        <v>26130</v>
      </c>
      <c r="C274">
        <f t="shared" si="3"/>
        <v>2.9940119760478723E-3</v>
      </c>
    </row>
    <row r="275" spans="1:3" x14ac:dyDescent="0.3">
      <c r="A275" s="4" t="s">
        <v>272</v>
      </c>
      <c r="B275" s="5">
        <v>27413</v>
      </c>
      <c r="C275">
        <f t="shared" si="3"/>
        <v>4.9100650593187911E-2</v>
      </c>
    </row>
    <row r="276" spans="1:3" x14ac:dyDescent="0.3">
      <c r="A276" s="4" t="s">
        <v>273</v>
      </c>
      <c r="B276" s="5">
        <v>29427.9</v>
      </c>
      <c r="C276">
        <f t="shared" si="3"/>
        <v>7.3501623317404174E-2</v>
      </c>
    </row>
    <row r="277" spans="1:3" x14ac:dyDescent="0.3">
      <c r="A277" s="4" t="s">
        <v>274</v>
      </c>
      <c r="B277" s="5">
        <v>30808.59</v>
      </c>
      <c r="C277">
        <f t="shared" ref="C277:C340" si="4">(B277/B276)-1</f>
        <v>4.6917720938293161E-2</v>
      </c>
    </row>
    <row r="278" spans="1:3" x14ac:dyDescent="0.3">
      <c r="A278" s="4" t="s">
        <v>275</v>
      </c>
      <c r="B278" s="5">
        <v>30768.93</v>
      </c>
      <c r="C278">
        <f t="shared" si="4"/>
        <v>-1.2873033137835721E-3</v>
      </c>
    </row>
    <row r="279" spans="1:3" x14ac:dyDescent="0.3">
      <c r="A279" s="4" t="s">
        <v>276</v>
      </c>
      <c r="B279" s="5">
        <v>29729.33</v>
      </c>
      <c r="C279">
        <f t="shared" si="4"/>
        <v>-3.3787330271153326E-2</v>
      </c>
    </row>
    <row r="280" spans="1:3" x14ac:dyDescent="0.3">
      <c r="A280" s="4" t="s">
        <v>277</v>
      </c>
      <c r="B280" s="5">
        <v>31616</v>
      </c>
      <c r="C280">
        <f t="shared" si="4"/>
        <v>6.346157145149256E-2</v>
      </c>
    </row>
    <row r="281" spans="1:3" x14ac:dyDescent="0.3">
      <c r="A281" s="4" t="s">
        <v>278</v>
      </c>
      <c r="B281" s="5">
        <v>35012.93</v>
      </c>
      <c r="C281">
        <f t="shared" si="4"/>
        <v>0.10744338309716595</v>
      </c>
    </row>
    <row r="282" spans="1:3" x14ac:dyDescent="0.3">
      <c r="A282" s="4" t="s">
        <v>279</v>
      </c>
      <c r="B282" s="5">
        <v>35158.730000000003</v>
      </c>
      <c r="C282">
        <f t="shared" si="4"/>
        <v>4.164175920152946E-3</v>
      </c>
    </row>
    <row r="283" spans="1:3" x14ac:dyDescent="0.3">
      <c r="A283" s="4" t="s">
        <v>280</v>
      </c>
      <c r="B283" s="5">
        <v>35186.47</v>
      </c>
      <c r="C283">
        <f t="shared" si="4"/>
        <v>7.889932315530146E-4</v>
      </c>
    </row>
    <row r="284" spans="1:3" x14ac:dyDescent="0.3">
      <c r="A284" s="4" t="s">
        <v>281</v>
      </c>
      <c r="B284" s="5">
        <v>35474.07</v>
      </c>
      <c r="C284">
        <f t="shared" si="4"/>
        <v>8.1735962715214772E-3</v>
      </c>
    </row>
    <row r="285" spans="1:3" x14ac:dyDescent="0.3">
      <c r="A285" s="4" t="s">
        <v>282</v>
      </c>
      <c r="B285" s="5">
        <v>31604.53</v>
      </c>
      <c r="C285">
        <f t="shared" si="4"/>
        <v>-0.10908080183638358</v>
      </c>
    </row>
    <row r="286" spans="1:3" x14ac:dyDescent="0.3">
      <c r="A286" s="4" t="s">
        <v>283</v>
      </c>
      <c r="B286" s="5">
        <v>29962.77</v>
      </c>
      <c r="C286">
        <f t="shared" si="4"/>
        <v>-5.1946983549510106E-2</v>
      </c>
    </row>
    <row r="287" spans="1:3" x14ac:dyDescent="0.3">
      <c r="A287" s="4" t="s">
        <v>284</v>
      </c>
      <c r="B287" s="5">
        <v>32610.22</v>
      </c>
      <c r="C287">
        <f t="shared" si="4"/>
        <v>8.8357985593454869E-2</v>
      </c>
    </row>
    <row r="288" spans="1:3" x14ac:dyDescent="0.3">
      <c r="A288" s="4" t="s">
        <v>285</v>
      </c>
      <c r="B288" s="5">
        <v>31591.01</v>
      </c>
      <c r="C288">
        <f t="shared" si="4"/>
        <v>-3.1254312298414466E-2</v>
      </c>
    </row>
    <row r="289" spans="1:3" x14ac:dyDescent="0.3">
      <c r="A289" s="4" t="s">
        <v>286</v>
      </c>
      <c r="B289" s="5">
        <v>32611.26</v>
      </c>
      <c r="C289">
        <f t="shared" si="4"/>
        <v>3.22955802932543E-2</v>
      </c>
    </row>
    <row r="290" spans="1:3" x14ac:dyDescent="0.3">
      <c r="A290" s="4" t="s">
        <v>287</v>
      </c>
      <c r="B290" s="5">
        <v>36009.32</v>
      </c>
      <c r="C290">
        <f t="shared" si="4"/>
        <v>0.10419897912561504</v>
      </c>
    </row>
    <row r="291" spans="1:3" x14ac:dyDescent="0.3">
      <c r="A291" s="4" t="s">
        <v>288</v>
      </c>
      <c r="B291" s="5">
        <v>36967.81</v>
      </c>
      <c r="C291">
        <f t="shared" si="4"/>
        <v>2.6617831161488192E-2</v>
      </c>
    </row>
    <row r="292" spans="1:3" x14ac:dyDescent="0.3">
      <c r="A292" s="4" t="s">
        <v>289</v>
      </c>
      <c r="B292" s="5">
        <v>36491.43</v>
      </c>
      <c r="C292">
        <f t="shared" si="4"/>
        <v>-1.2886346256378078E-2</v>
      </c>
    </row>
    <row r="293" spans="1:3" x14ac:dyDescent="0.3">
      <c r="A293" s="4" t="s">
        <v>290</v>
      </c>
      <c r="B293" s="5">
        <v>40400.910000000003</v>
      </c>
      <c r="C293">
        <f t="shared" si="4"/>
        <v>0.10713419561798498</v>
      </c>
    </row>
    <row r="294" spans="1:3" x14ac:dyDescent="0.3">
      <c r="A294" s="4" t="s">
        <v>291</v>
      </c>
      <c r="B294" s="5">
        <v>39688.74</v>
      </c>
      <c r="C294">
        <f t="shared" si="4"/>
        <v>-1.7627573240305838E-2</v>
      </c>
    </row>
    <row r="295" spans="1:3" x14ac:dyDescent="0.3">
      <c r="A295" s="4" t="s">
        <v>292</v>
      </c>
      <c r="B295" s="5">
        <v>39643.35</v>
      </c>
      <c r="C295">
        <f t="shared" si="4"/>
        <v>-1.1436493070831055E-3</v>
      </c>
    </row>
    <row r="296" spans="1:3" x14ac:dyDescent="0.3">
      <c r="A296" s="4" t="s">
        <v>293</v>
      </c>
      <c r="B296" s="5">
        <v>40062.33</v>
      </c>
      <c r="C296">
        <f t="shared" si="4"/>
        <v>1.056873346980014E-2</v>
      </c>
    </row>
    <row r="297" spans="1:3" x14ac:dyDescent="0.3">
      <c r="A297" s="4" t="s">
        <v>294</v>
      </c>
      <c r="B297" s="5">
        <v>40519.550000000003</v>
      </c>
      <c r="C297">
        <f t="shared" si="4"/>
        <v>1.1412716135082546E-2</v>
      </c>
    </row>
    <row r="298" spans="1:3" x14ac:dyDescent="0.3">
      <c r="A298" s="4" t="s">
        <v>295</v>
      </c>
      <c r="B298" s="5">
        <v>42180.160000000003</v>
      </c>
      <c r="C298">
        <f t="shared" si="4"/>
        <v>4.0982932929906735E-2</v>
      </c>
    </row>
    <row r="299" spans="1:3" x14ac:dyDescent="0.3">
      <c r="A299" s="4" t="s">
        <v>296</v>
      </c>
      <c r="B299" s="5">
        <v>42672.69</v>
      </c>
      <c r="C299">
        <f t="shared" si="4"/>
        <v>1.167681677831478E-2</v>
      </c>
    </row>
    <row r="300" spans="1:3" x14ac:dyDescent="0.3">
      <c r="A300" s="4" t="s">
        <v>297</v>
      </c>
      <c r="B300" s="5">
        <v>42602.77</v>
      </c>
      <c r="C300">
        <f t="shared" si="4"/>
        <v>-1.6385186872448498E-3</v>
      </c>
    </row>
    <row r="301" spans="1:3" x14ac:dyDescent="0.3">
      <c r="A301" s="4" t="s">
        <v>298</v>
      </c>
      <c r="B301" s="5">
        <v>43971.65</v>
      </c>
      <c r="C301">
        <f t="shared" si="4"/>
        <v>3.2131244048215768E-2</v>
      </c>
    </row>
    <row r="302" spans="1:3" x14ac:dyDescent="0.3">
      <c r="A302" s="4" t="s">
        <v>299</v>
      </c>
      <c r="B302" s="5">
        <v>44939.87</v>
      </c>
      <c r="C302">
        <f t="shared" si="4"/>
        <v>2.2019187362766646E-2</v>
      </c>
    </row>
    <row r="303" spans="1:3" x14ac:dyDescent="0.3">
      <c r="A303" s="4" t="s">
        <v>300</v>
      </c>
      <c r="B303" s="5">
        <v>45374.96</v>
      </c>
      <c r="C303">
        <f t="shared" si="4"/>
        <v>9.6816034403301998E-3</v>
      </c>
    </row>
    <row r="304" spans="1:3" x14ac:dyDescent="0.3">
      <c r="A304" s="4" t="s">
        <v>301</v>
      </c>
      <c r="B304" s="5">
        <v>48675.42</v>
      </c>
      <c r="C304">
        <f t="shared" si="4"/>
        <v>7.2737474589509299E-2</v>
      </c>
    </row>
    <row r="305" spans="1:3" x14ac:dyDescent="0.3">
      <c r="A305" s="4" t="s">
        <v>302</v>
      </c>
      <c r="B305" s="5">
        <v>48065.13</v>
      </c>
      <c r="C305">
        <f t="shared" si="4"/>
        <v>-1.2537950365913653E-2</v>
      </c>
    </row>
    <row r="306" spans="1:3" x14ac:dyDescent="0.3">
      <c r="A306" s="4" t="s">
        <v>303</v>
      </c>
      <c r="B306" s="5">
        <v>44113.94</v>
      </c>
      <c r="C306">
        <f t="shared" si="4"/>
        <v>-8.2204916537206851E-2</v>
      </c>
    </row>
    <row r="307" spans="1:3" x14ac:dyDescent="0.3">
      <c r="A307" s="4" t="s">
        <v>304</v>
      </c>
      <c r="B307" s="5">
        <v>30840.55</v>
      </c>
      <c r="C307">
        <f t="shared" si="4"/>
        <v>-0.30088878934867302</v>
      </c>
    </row>
    <row r="308" spans="1:3" x14ac:dyDescent="0.3">
      <c r="A308" s="4" t="s">
        <v>305</v>
      </c>
      <c r="B308" s="5">
        <v>34006.82</v>
      </c>
      <c r="C308">
        <f t="shared" si="4"/>
        <v>0.1026658084891483</v>
      </c>
    </row>
    <row r="309" spans="1:3" x14ac:dyDescent="0.3">
      <c r="A309" s="4" t="s">
        <v>306</v>
      </c>
      <c r="B309" s="5">
        <v>36903.25</v>
      </c>
      <c r="C309">
        <f t="shared" si="4"/>
        <v>8.5172033139234937E-2</v>
      </c>
    </row>
    <row r="310" spans="1:3" x14ac:dyDescent="0.3">
      <c r="A310" s="4" t="s">
        <v>307</v>
      </c>
      <c r="B310" s="5">
        <v>40213.019999999997</v>
      </c>
      <c r="C310">
        <f t="shared" si="4"/>
        <v>8.9687764627776501E-2</v>
      </c>
    </row>
    <row r="311" spans="1:3" x14ac:dyDescent="0.3">
      <c r="A311" s="4" t="s">
        <v>308</v>
      </c>
      <c r="B311" s="5">
        <v>43596.81</v>
      </c>
      <c r="C311">
        <f t="shared" si="4"/>
        <v>8.4146627137180907E-2</v>
      </c>
    </row>
    <row r="312" spans="1:3" x14ac:dyDescent="0.3">
      <c r="A312" s="4" t="s">
        <v>309</v>
      </c>
      <c r="B312" s="5">
        <v>42125.27</v>
      </c>
      <c r="C312">
        <f t="shared" si="4"/>
        <v>-3.3753387002397717E-2</v>
      </c>
    </row>
    <row r="313" spans="1:3" x14ac:dyDescent="0.3">
      <c r="A313" s="4" t="s">
        <v>310</v>
      </c>
      <c r="B313" s="5">
        <v>40195.599999999999</v>
      </c>
      <c r="C313">
        <f t="shared" si="4"/>
        <v>-4.5807896305471663E-2</v>
      </c>
    </row>
    <row r="314" spans="1:3" x14ac:dyDescent="0.3">
      <c r="A314" s="4" t="s">
        <v>311</v>
      </c>
      <c r="B314" s="5">
        <v>39975.69</v>
      </c>
      <c r="C314">
        <f t="shared" si="4"/>
        <v>-5.4709968255231001E-3</v>
      </c>
    </row>
    <row r="315" spans="1:3" x14ac:dyDescent="0.3">
      <c r="A315" s="4" t="s">
        <v>312</v>
      </c>
      <c r="B315" s="5">
        <v>46155.12</v>
      </c>
      <c r="C315">
        <f t="shared" si="4"/>
        <v>0.15457969581012865</v>
      </c>
    </row>
    <row r="316" spans="1:3" x14ac:dyDescent="0.3">
      <c r="A316" s="4" t="s">
        <v>313</v>
      </c>
      <c r="B316" s="5">
        <v>50379.31</v>
      </c>
      <c r="C316">
        <f t="shared" si="4"/>
        <v>9.1521590670764041E-2</v>
      </c>
    </row>
    <row r="317" spans="1:3" x14ac:dyDescent="0.3">
      <c r="A317" s="4" t="s">
        <v>314</v>
      </c>
      <c r="B317" s="5">
        <v>48854.26</v>
      </c>
      <c r="C317">
        <f t="shared" si="4"/>
        <v>-3.0271355443335701E-2</v>
      </c>
    </row>
    <row r="318" spans="1:3" x14ac:dyDescent="0.3">
      <c r="A318" s="4" t="s">
        <v>315</v>
      </c>
      <c r="B318" s="5">
        <v>47167.32</v>
      </c>
      <c r="C318">
        <f t="shared" si="4"/>
        <v>-3.4530049170737653E-2</v>
      </c>
    </row>
    <row r="319" spans="1:3" x14ac:dyDescent="0.3">
      <c r="A319" s="4" t="s">
        <v>316</v>
      </c>
      <c r="B319" s="5">
        <v>50014.2</v>
      </c>
      <c r="C319">
        <f t="shared" si="4"/>
        <v>6.0357043817626188E-2</v>
      </c>
    </row>
    <row r="320" spans="1:3" x14ac:dyDescent="0.3">
      <c r="A320" s="4" t="s">
        <v>317</v>
      </c>
      <c r="B320" s="5">
        <v>51432.65</v>
      </c>
      <c r="C320">
        <f t="shared" si="4"/>
        <v>2.8360945491480605E-2</v>
      </c>
    </row>
    <row r="321" spans="1:3" x14ac:dyDescent="0.3">
      <c r="A321" s="4" t="s">
        <v>318</v>
      </c>
      <c r="B321" s="5">
        <v>54478.49</v>
      </c>
      <c r="C321">
        <f t="shared" si="4"/>
        <v>5.9219970194030358E-2</v>
      </c>
    </row>
    <row r="322" spans="1:3" x14ac:dyDescent="0.3">
      <c r="A322" s="4" t="s">
        <v>319</v>
      </c>
      <c r="B322" s="5">
        <v>54822.42</v>
      </c>
      <c r="C322">
        <f t="shared" si="4"/>
        <v>6.3131338625574962E-3</v>
      </c>
    </row>
    <row r="323" spans="1:3" x14ac:dyDescent="0.3">
      <c r="A323" s="4" t="s">
        <v>320</v>
      </c>
      <c r="B323" s="5">
        <v>52632.97</v>
      </c>
      <c r="C323">
        <f t="shared" si="4"/>
        <v>-3.9937127912266446E-2</v>
      </c>
    </row>
    <row r="324" spans="1:3" x14ac:dyDescent="0.3">
      <c r="A324" s="4" t="s">
        <v>321</v>
      </c>
      <c r="B324" s="5">
        <v>50920.04</v>
      </c>
      <c r="C324">
        <f t="shared" si="4"/>
        <v>-3.254480984067587E-2</v>
      </c>
    </row>
    <row r="325" spans="1:3" x14ac:dyDescent="0.3">
      <c r="A325" s="4" t="s">
        <v>322</v>
      </c>
      <c r="B325" s="5">
        <v>47360.36</v>
      </c>
      <c r="C325">
        <f t="shared" si="4"/>
        <v>-6.9907250662018305E-2</v>
      </c>
    </row>
    <row r="326" spans="1:3" x14ac:dyDescent="0.3">
      <c r="A326" s="4" t="s">
        <v>323</v>
      </c>
      <c r="B326" s="5">
        <v>44133.83</v>
      </c>
      <c r="C326">
        <f t="shared" si="4"/>
        <v>-6.8127227073442875E-2</v>
      </c>
    </row>
    <row r="327" spans="1:3" x14ac:dyDescent="0.3">
      <c r="A327" s="4" t="s">
        <v>324</v>
      </c>
      <c r="B327" s="5">
        <v>43387.81</v>
      </c>
      <c r="C327">
        <f t="shared" si="4"/>
        <v>-1.6903586205865295E-2</v>
      </c>
    </row>
    <row r="328" spans="1:3" x14ac:dyDescent="0.3">
      <c r="A328" s="4" t="s">
        <v>325</v>
      </c>
      <c r="B328" s="5">
        <v>44749.56</v>
      </c>
      <c r="C328">
        <f t="shared" si="4"/>
        <v>3.1385543543221095E-2</v>
      </c>
    </row>
    <row r="329" spans="1:3" x14ac:dyDescent="0.3">
      <c r="A329" s="4" t="s">
        <v>326</v>
      </c>
      <c r="B329" s="5">
        <v>47822.25</v>
      </c>
      <c r="C329">
        <f t="shared" si="4"/>
        <v>6.8664138820582865E-2</v>
      </c>
    </row>
    <row r="330" spans="1:3" x14ac:dyDescent="0.3">
      <c r="A330" s="4" t="s">
        <v>327</v>
      </c>
      <c r="B330" s="5">
        <v>48520.15</v>
      </c>
      <c r="C330">
        <f t="shared" si="4"/>
        <v>1.4593625352215867E-2</v>
      </c>
    </row>
    <row r="331" spans="1:3" x14ac:dyDescent="0.3">
      <c r="A331" s="4" t="s">
        <v>328</v>
      </c>
      <c r="B331" s="5">
        <v>51410.77</v>
      </c>
      <c r="C331">
        <f t="shared" si="4"/>
        <v>5.957566083369481E-2</v>
      </c>
    </row>
    <row r="332" spans="1:3" x14ac:dyDescent="0.3">
      <c r="A332" s="4" t="s">
        <v>329</v>
      </c>
      <c r="B332" s="5">
        <v>46211.94</v>
      </c>
      <c r="C332">
        <f t="shared" si="4"/>
        <v>-0.10112336383991127</v>
      </c>
    </row>
    <row r="333" spans="1:3" x14ac:dyDescent="0.3">
      <c r="A333" s="4" t="s">
        <v>330</v>
      </c>
      <c r="B333" s="5">
        <v>47705.440000000002</v>
      </c>
      <c r="C333">
        <f t="shared" si="4"/>
        <v>3.2318487386593153E-2</v>
      </c>
    </row>
    <row r="334" spans="1:3" x14ac:dyDescent="0.3">
      <c r="A334" s="4" t="s">
        <v>331</v>
      </c>
      <c r="B334" s="5">
        <v>42188.99</v>
      </c>
      <c r="C334">
        <f t="shared" si="4"/>
        <v>-0.11563565916172247</v>
      </c>
    </row>
    <row r="335" spans="1:3" x14ac:dyDescent="0.3">
      <c r="A335" s="4" t="s">
        <v>332</v>
      </c>
      <c r="B335" s="5">
        <v>44044.97</v>
      </c>
      <c r="C335">
        <f t="shared" si="4"/>
        <v>4.3992046266099427E-2</v>
      </c>
    </row>
    <row r="336" spans="1:3" x14ac:dyDescent="0.3">
      <c r="A336" s="4" t="s">
        <v>333</v>
      </c>
      <c r="B336" s="5">
        <v>46753.63</v>
      </c>
      <c r="C336">
        <f t="shared" si="4"/>
        <v>6.1497601201680796E-2</v>
      </c>
    </row>
    <row r="337" spans="1:3" x14ac:dyDescent="0.3">
      <c r="A337" s="4" t="s">
        <v>334</v>
      </c>
      <c r="B337" s="5">
        <v>46730.97</v>
      </c>
      <c r="C337">
        <f t="shared" si="4"/>
        <v>-4.8466824928883323E-4</v>
      </c>
    </row>
    <row r="338" spans="1:3" x14ac:dyDescent="0.3">
      <c r="A338" s="4" t="s">
        <v>335</v>
      </c>
      <c r="B338" s="5">
        <v>49334.78</v>
      </c>
      <c r="C338">
        <f t="shared" si="4"/>
        <v>5.5719151560517544E-2</v>
      </c>
    </row>
    <row r="339" spans="1:3" x14ac:dyDescent="0.3">
      <c r="A339" s="4" t="s">
        <v>336</v>
      </c>
      <c r="B339" s="5">
        <v>47801.7</v>
      </c>
      <c r="C339">
        <f t="shared" si="4"/>
        <v>-3.1075034691550263E-2</v>
      </c>
    </row>
    <row r="340" spans="1:3" x14ac:dyDescent="0.3">
      <c r="A340" s="4" t="s">
        <v>337</v>
      </c>
      <c r="B340" s="5">
        <v>46546.89</v>
      </c>
      <c r="C340">
        <f t="shared" si="4"/>
        <v>-2.6250321641280494E-2</v>
      </c>
    </row>
    <row r="341" spans="1:3" x14ac:dyDescent="0.3">
      <c r="A341" s="4" t="s">
        <v>338</v>
      </c>
      <c r="B341" s="5">
        <v>48181.14</v>
      </c>
      <c r="C341">
        <f t="shared" ref="C341:C367" si="5">(B341/B340)-1</f>
        <v>3.5109757064327951E-2</v>
      </c>
    </row>
    <row r="342" spans="1:3" x14ac:dyDescent="0.3">
      <c r="A342" s="4" t="s">
        <v>339</v>
      </c>
      <c r="B342" s="5">
        <v>44526.06</v>
      </c>
      <c r="C342">
        <f t="shared" si="5"/>
        <v>-7.5861218725833401E-2</v>
      </c>
    </row>
    <row r="343" spans="1:3" x14ac:dyDescent="0.3">
      <c r="A343" s="4" t="s">
        <v>340</v>
      </c>
      <c r="B343" s="5">
        <v>43160.72</v>
      </c>
      <c r="C343">
        <f t="shared" si="5"/>
        <v>-3.066384045657744E-2</v>
      </c>
    </row>
    <row r="344" spans="1:3" x14ac:dyDescent="0.3">
      <c r="A344" s="4" t="s">
        <v>341</v>
      </c>
      <c r="B344" s="5">
        <v>43994.42</v>
      </c>
      <c r="C344">
        <f t="shared" si="5"/>
        <v>1.9316174521648355E-2</v>
      </c>
    </row>
    <row r="345" spans="1:3" x14ac:dyDescent="0.3">
      <c r="A345" s="4" t="s">
        <v>342</v>
      </c>
      <c r="B345" s="5">
        <v>45575.35</v>
      </c>
      <c r="C345">
        <f t="shared" si="5"/>
        <v>3.593478445675613E-2</v>
      </c>
    </row>
    <row r="346" spans="1:3" x14ac:dyDescent="0.3">
      <c r="A346" s="4" t="s">
        <v>343</v>
      </c>
      <c r="B346" s="5">
        <v>49616.33</v>
      </c>
      <c r="C346">
        <f t="shared" si="5"/>
        <v>8.8665912604072306E-2</v>
      </c>
    </row>
    <row r="347" spans="1:3" x14ac:dyDescent="0.3">
      <c r="A347" s="4" t="s">
        <v>344</v>
      </c>
      <c r="B347" s="5">
        <v>51263.88</v>
      </c>
      <c r="C347">
        <f t="shared" si="5"/>
        <v>3.3205801396435364E-2</v>
      </c>
    </row>
    <row r="348" spans="1:3" x14ac:dyDescent="0.3">
      <c r="A348" s="4" t="s">
        <v>345</v>
      </c>
      <c r="B348" s="5">
        <v>48697.59</v>
      </c>
      <c r="C348">
        <f t="shared" si="5"/>
        <v>-5.0060393399797287E-2</v>
      </c>
    </row>
    <row r="349" spans="1:3" x14ac:dyDescent="0.3">
      <c r="A349" s="4" t="s">
        <v>346</v>
      </c>
      <c r="B349" s="5">
        <v>49108.5</v>
      </c>
      <c r="C349">
        <f t="shared" si="5"/>
        <v>8.437994570162477E-3</v>
      </c>
    </row>
    <row r="350" spans="1:3" x14ac:dyDescent="0.3">
      <c r="A350" s="4" t="s">
        <v>347</v>
      </c>
      <c r="B350" s="5">
        <v>47621.19</v>
      </c>
      <c r="C350">
        <f t="shared" si="5"/>
        <v>-3.0286202999480705E-2</v>
      </c>
    </row>
    <row r="351" spans="1:3" x14ac:dyDescent="0.3">
      <c r="A351" s="4" t="s">
        <v>348</v>
      </c>
      <c r="B351" s="5">
        <v>53515.32</v>
      </c>
      <c r="C351">
        <f t="shared" si="5"/>
        <v>0.12377116153544243</v>
      </c>
    </row>
    <row r="352" spans="1:3" x14ac:dyDescent="0.3">
      <c r="A352" s="4" t="s">
        <v>349</v>
      </c>
      <c r="B352" s="5">
        <v>56449.62</v>
      </c>
      <c r="C352">
        <f t="shared" si="5"/>
        <v>5.4831027825303247E-2</v>
      </c>
    </row>
    <row r="353" spans="1:3" x14ac:dyDescent="0.3">
      <c r="A353" s="4" t="s">
        <v>350</v>
      </c>
      <c r="B353" s="5">
        <v>53905</v>
      </c>
      <c r="C353">
        <f t="shared" si="5"/>
        <v>-4.5077717086492441E-2</v>
      </c>
    </row>
    <row r="354" spans="1:3" x14ac:dyDescent="0.3">
      <c r="A354" s="4" t="s">
        <v>351</v>
      </c>
      <c r="B354" s="5">
        <v>54423.74</v>
      </c>
      <c r="C354">
        <f t="shared" si="5"/>
        <v>9.6232260458213315E-3</v>
      </c>
    </row>
    <row r="355" spans="1:3" x14ac:dyDescent="0.3">
      <c r="A355" s="4" t="s">
        <v>352</v>
      </c>
      <c r="B355" s="5">
        <v>54026.97</v>
      </c>
      <c r="C355">
        <f t="shared" si="5"/>
        <v>-7.2903846740410838E-3</v>
      </c>
    </row>
    <row r="356" spans="1:3" x14ac:dyDescent="0.3">
      <c r="A356" s="4" t="s">
        <v>353</v>
      </c>
      <c r="B356" s="5">
        <v>53304.46</v>
      </c>
      <c r="C356">
        <f t="shared" si="5"/>
        <v>-1.337313567649645E-2</v>
      </c>
    </row>
    <row r="357" spans="1:3" x14ac:dyDescent="0.3">
      <c r="A357" s="4" t="s">
        <v>354</v>
      </c>
      <c r="B357" s="5">
        <v>51611.23</v>
      </c>
      <c r="C357">
        <f t="shared" si="5"/>
        <v>-3.1765259417317004E-2</v>
      </c>
    </row>
    <row r="358" spans="1:3" x14ac:dyDescent="0.3">
      <c r="A358" s="4" t="s">
        <v>355</v>
      </c>
      <c r="B358" s="5">
        <v>52388.06</v>
      </c>
      <c r="C358">
        <f t="shared" si="5"/>
        <v>1.5051569203059056E-2</v>
      </c>
    </row>
    <row r="359" spans="1:3" x14ac:dyDescent="0.3">
      <c r="A359" s="4" t="s">
        <v>356</v>
      </c>
      <c r="B359" s="5">
        <v>53906.38</v>
      </c>
      <c r="C359">
        <f t="shared" si="5"/>
        <v>2.8982176473036025E-2</v>
      </c>
    </row>
    <row r="360" spans="1:3" x14ac:dyDescent="0.3">
      <c r="A360" s="4" t="s">
        <v>357</v>
      </c>
      <c r="B360" s="5">
        <v>57461.68</v>
      </c>
      <c r="C360">
        <f t="shared" si="5"/>
        <v>6.5953232251915406E-2</v>
      </c>
    </row>
    <row r="361" spans="1:3" x14ac:dyDescent="0.3">
      <c r="A361" s="4" t="s">
        <v>358</v>
      </c>
      <c r="B361" s="5">
        <v>55754.2</v>
      </c>
      <c r="C361">
        <f t="shared" si="5"/>
        <v>-2.9715107529052487E-2</v>
      </c>
    </row>
    <row r="362" spans="1:3" x14ac:dyDescent="0.3">
      <c r="A362" s="4" t="s">
        <v>359</v>
      </c>
      <c r="B362" s="5">
        <v>54900.43</v>
      </c>
      <c r="C362">
        <f t="shared" si="5"/>
        <v>-1.5313106456553927E-2</v>
      </c>
    </row>
    <row r="363" spans="1:3" x14ac:dyDescent="0.3">
      <c r="A363" s="4" t="s">
        <v>360</v>
      </c>
      <c r="B363" s="5">
        <v>53303.91</v>
      </c>
      <c r="C363">
        <f t="shared" si="5"/>
        <v>-2.9080282249155376E-2</v>
      </c>
    </row>
    <row r="364" spans="1:3" x14ac:dyDescent="0.3">
      <c r="A364" s="4" t="s">
        <v>361</v>
      </c>
      <c r="B364" s="5">
        <v>50967.02</v>
      </c>
      <c r="C364">
        <f t="shared" si="5"/>
        <v>-4.3840873962154081E-2</v>
      </c>
    </row>
    <row r="365" spans="1:3" x14ac:dyDescent="0.3">
      <c r="A365" s="4" t="s">
        <v>362</v>
      </c>
      <c r="B365" s="5">
        <v>53473.03</v>
      </c>
      <c r="C365">
        <f t="shared" si="5"/>
        <v>4.916924709351278E-2</v>
      </c>
    </row>
    <row r="366" spans="1:3" x14ac:dyDescent="0.3">
      <c r="A366" s="4" t="s">
        <v>363</v>
      </c>
      <c r="B366" s="5">
        <v>52039.53</v>
      </c>
      <c r="C366">
        <f t="shared" si="5"/>
        <v>-2.6807906714843011E-2</v>
      </c>
    </row>
    <row r="367" spans="1:3" x14ac:dyDescent="0.3">
      <c r="A367" s="4" t="s">
        <v>364</v>
      </c>
      <c r="B367" s="5">
        <v>55131.41</v>
      </c>
      <c r="C367">
        <f t="shared" si="5"/>
        <v>5.9414064654311982E-2</v>
      </c>
    </row>
    <row r="368" spans="1:3" x14ac:dyDescent="0.3">
      <c r="A368" s="4" t="s">
        <v>365</v>
      </c>
      <c r="B368" s="5">
        <v>56969.37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CDI 252 dias</vt:lpstr>
      <vt:lpstr>CDI Acumulado</vt:lpstr>
      <vt:lpstr>IBOV</vt:lpstr>
      <vt:lpstr>IBXL</vt:lpstr>
      <vt:lpstr>IBXX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Jungblut</cp:lastModifiedBy>
  <dcterms:created xsi:type="dcterms:W3CDTF">2000-01-01T12:00:00Z</dcterms:created>
  <dcterms:modified xsi:type="dcterms:W3CDTF">2025-11-13T15:53:33Z</dcterms:modified>
</cp:coreProperties>
</file>